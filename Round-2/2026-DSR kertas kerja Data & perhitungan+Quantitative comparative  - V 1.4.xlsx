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ata BSH\Pasca Sarjana\UAD - Univ Ahmad Dahlan - Yogya\08.Journal &amp; Publikasi\Artikel 3\"/>
    </mc:Choice>
  </mc:AlternateContent>
  <xr:revisionPtr revIDLastSave="0" documentId="13_ncr:1_{5B8A5378-676C-4482-A394-FE83888FE788}" xr6:coauthVersionLast="47" xr6:coauthVersionMax="47" xr10:uidLastSave="{00000000-0000-0000-0000-000000000000}"/>
  <bookViews>
    <workbookView xWindow="-120" yWindow="-120" windowWidth="29040" windowHeight="15720" firstSheet="9" activeTab="9" xr2:uid="{00000000-000D-0000-FFFF-FFFF00000000}"/>
  </bookViews>
  <sheets>
    <sheet name="Olah Data 3 -Form Responses (3)" sheetId="1" r:id="rId1"/>
    <sheet name="00 Panduan" sheetId="2" r:id="rId2"/>
    <sheet name="01 Profil Responden" sheetId="3" r:id="rId3"/>
    <sheet name="02 CVR CVI" sheetId="4" r:id="rId4"/>
    <sheet name="03 AikenV" sheetId="5" r:id="rId5"/>
    <sheet name="04 Reliabilitas" sheetId="6" r:id="rId6"/>
    <sheet name="05 Ringkasan_Uji" sheetId="7" r:id="rId7"/>
    <sheet name="06 Applicability Index_Gap" sheetId="8" r:id="rId8"/>
    <sheet name="07 Dashboard" sheetId="9" r:id="rId9"/>
    <sheet name="QC Data" sheetId="10" r:id="rId10"/>
    <sheet name="QC_Summary" sheetId="11" r:id="rId11"/>
    <sheet name="QC_Paired_t_Test" sheetId="12" r:id="rId12"/>
  </sheets>
  <definedNames>
    <definedName name="_xlnm._FilterDatabase" localSheetId="9" hidden="1">'QC Data'!$A$4:$AO$23</definedName>
    <definedName name="_xlnm._FilterDatabase" localSheetId="11" hidden="1">QC_Paired_t_Test!$A$14:$H$33</definedName>
    <definedName name="_xlnm.Print_Titles" localSheetId="10">QC_Summary!$1:$4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33" i="12" l="1"/>
  <c r="A32" i="12"/>
  <c r="A31" i="12"/>
  <c r="A30" i="12"/>
  <c r="A29" i="12"/>
  <c r="A28" i="12"/>
  <c r="A27" i="12"/>
  <c r="A26" i="12"/>
  <c r="A25" i="12"/>
  <c r="A24" i="12"/>
  <c r="A23" i="12"/>
  <c r="A22" i="12"/>
  <c r="A21" i="12"/>
  <c r="A20" i="12"/>
  <c r="A19" i="12"/>
  <c r="A18" i="12"/>
  <c r="A17" i="12"/>
  <c r="A16" i="12"/>
  <c r="A15" i="12"/>
  <c r="F9" i="12"/>
  <c r="AK24" i="10"/>
  <c r="AJ24" i="10"/>
  <c r="AI24" i="10"/>
  <c r="E11" i="11" s="1"/>
  <c r="AH24" i="10"/>
  <c r="E10" i="11" s="1"/>
  <c r="AG24" i="10"/>
  <c r="E9" i="11" s="1"/>
  <c r="AF24" i="10"/>
  <c r="E8" i="11" s="1"/>
  <c r="AE24" i="10"/>
  <c r="E7" i="11" s="1"/>
  <c r="AD24" i="10"/>
  <c r="AC24" i="10"/>
  <c r="AB24" i="10"/>
  <c r="D13" i="11" s="1"/>
  <c r="AA24" i="10"/>
  <c r="D12" i="11" s="1"/>
  <c r="Z24" i="10"/>
  <c r="D11" i="11" s="1"/>
  <c r="Y24" i="10"/>
  <c r="D10" i="11" s="1"/>
  <c r="X24" i="10"/>
  <c r="D9" i="11" s="1"/>
  <c r="W24" i="10"/>
  <c r="V24" i="10"/>
  <c r="U24" i="10"/>
  <c r="T24" i="10"/>
  <c r="S24" i="10"/>
  <c r="C13" i="11" s="1"/>
  <c r="R24" i="10"/>
  <c r="C12" i="11" s="1"/>
  <c r="Q24" i="10"/>
  <c r="C11" i="11" s="1"/>
  <c r="P24" i="10"/>
  <c r="C10" i="11" s="1"/>
  <c r="O24" i="10"/>
  <c r="C9" i="11" s="1"/>
  <c r="N24" i="10"/>
  <c r="M24" i="10"/>
  <c r="L24" i="10"/>
  <c r="C6" i="11" s="1"/>
  <c r="K24" i="10"/>
  <c r="C5" i="11" s="1"/>
  <c r="J24" i="10"/>
  <c r="B13" i="11" s="1"/>
  <c r="I24" i="10"/>
  <c r="B12" i="11" s="1"/>
  <c r="H24" i="10"/>
  <c r="B11" i="11" s="1"/>
  <c r="G24" i="10"/>
  <c r="B10" i="11" s="1"/>
  <c r="F24" i="10"/>
  <c r="E24" i="10"/>
  <c r="D24" i="10"/>
  <c r="B7" i="11" s="1"/>
  <c r="C24" i="10"/>
  <c r="B6" i="11" s="1"/>
  <c r="B24" i="10"/>
  <c r="B5" i="11" s="1"/>
  <c r="AO23" i="10"/>
  <c r="E43" i="11" s="1"/>
  <c r="AN23" i="10"/>
  <c r="D33" i="12" s="1"/>
  <c r="AM23" i="10"/>
  <c r="C33" i="12" s="1"/>
  <c r="AL23" i="10"/>
  <c r="B33" i="12" s="1"/>
  <c r="AO22" i="10"/>
  <c r="E32" i="12" s="1"/>
  <c r="AN22" i="10"/>
  <c r="D32" i="12" s="1"/>
  <c r="AM22" i="10"/>
  <c r="C32" i="12" s="1"/>
  <c r="AL22" i="10"/>
  <c r="B32" i="12" s="1"/>
  <c r="AO21" i="10"/>
  <c r="E31" i="12" s="1"/>
  <c r="AN21" i="10"/>
  <c r="D31" i="12" s="1"/>
  <c r="AM21" i="10"/>
  <c r="C31" i="12" s="1"/>
  <c r="AL21" i="10"/>
  <c r="B31" i="12" s="1"/>
  <c r="AO20" i="10"/>
  <c r="E30" i="12" s="1"/>
  <c r="AN20" i="10"/>
  <c r="D30" i="12" s="1"/>
  <c r="AM20" i="10"/>
  <c r="C30" i="12" s="1"/>
  <c r="AL20" i="10"/>
  <c r="AO19" i="10"/>
  <c r="E29" i="12" s="1"/>
  <c r="AN19" i="10"/>
  <c r="D29" i="12" s="1"/>
  <c r="AM19" i="10"/>
  <c r="C29" i="12" s="1"/>
  <c r="AL19" i="10"/>
  <c r="B29" i="12" s="1"/>
  <c r="AO18" i="10"/>
  <c r="E28" i="12" s="1"/>
  <c r="AN18" i="10"/>
  <c r="D38" i="11" s="1"/>
  <c r="AM18" i="10"/>
  <c r="C28" i="12" s="1"/>
  <c r="AL18" i="10"/>
  <c r="AO17" i="10"/>
  <c r="E37" i="11" s="1"/>
  <c r="AN17" i="10"/>
  <c r="D27" i="12" s="1"/>
  <c r="AM17" i="10"/>
  <c r="C27" i="12" s="1"/>
  <c r="AL17" i="10"/>
  <c r="B27" i="12" s="1"/>
  <c r="AO16" i="10"/>
  <c r="E26" i="12" s="1"/>
  <c r="AN16" i="10"/>
  <c r="D36" i="11" s="1"/>
  <c r="AM16" i="10"/>
  <c r="C26" i="12" s="1"/>
  <c r="AL16" i="10"/>
  <c r="B26" i="12" s="1"/>
  <c r="AO15" i="10"/>
  <c r="E35" i="11" s="1"/>
  <c r="AN15" i="10"/>
  <c r="D25" i="12" s="1"/>
  <c r="AM15" i="10"/>
  <c r="C25" i="12" s="1"/>
  <c r="AL15" i="10"/>
  <c r="B25" i="12" s="1"/>
  <c r="AO14" i="10"/>
  <c r="E24" i="12" s="1"/>
  <c r="AN14" i="10"/>
  <c r="D24" i="12" s="1"/>
  <c r="AM14" i="10"/>
  <c r="C24" i="12" s="1"/>
  <c r="AL14" i="10"/>
  <c r="B24" i="12" s="1"/>
  <c r="AO13" i="10"/>
  <c r="E23" i="12" s="1"/>
  <c r="AN13" i="10"/>
  <c r="D23" i="12" s="1"/>
  <c r="AM13" i="10"/>
  <c r="C23" i="12" s="1"/>
  <c r="AL13" i="10"/>
  <c r="B23" i="12" s="1"/>
  <c r="AO12" i="10"/>
  <c r="E22" i="12" s="1"/>
  <c r="AN12" i="10"/>
  <c r="D22" i="12" s="1"/>
  <c r="AM12" i="10"/>
  <c r="C22" i="12" s="1"/>
  <c r="AL12" i="10"/>
  <c r="AO11" i="10"/>
  <c r="E21" i="12" s="1"/>
  <c r="AN11" i="10"/>
  <c r="D31" i="11" s="1"/>
  <c r="AM11" i="10"/>
  <c r="C21" i="12" s="1"/>
  <c r="AL11" i="10"/>
  <c r="B21" i="12" s="1"/>
  <c r="AO10" i="10"/>
  <c r="E20" i="12" s="1"/>
  <c r="AN10" i="10"/>
  <c r="D30" i="11" s="1"/>
  <c r="AM10" i="10"/>
  <c r="C20" i="12" s="1"/>
  <c r="AL10" i="10"/>
  <c r="AO9" i="10"/>
  <c r="E29" i="11" s="1"/>
  <c r="AN9" i="10"/>
  <c r="D29" i="11" s="1"/>
  <c r="AM9" i="10"/>
  <c r="C19" i="12" s="1"/>
  <c r="AL9" i="10"/>
  <c r="B19" i="12" s="1"/>
  <c r="AO8" i="10"/>
  <c r="E18" i="12" s="1"/>
  <c r="AN8" i="10"/>
  <c r="D28" i="11" s="1"/>
  <c r="AM8" i="10"/>
  <c r="C18" i="12" s="1"/>
  <c r="AL8" i="10"/>
  <c r="B18" i="12" s="1"/>
  <c r="AO7" i="10"/>
  <c r="E27" i="11" s="1"/>
  <c r="AN7" i="10"/>
  <c r="D17" i="12" s="1"/>
  <c r="AM7" i="10"/>
  <c r="C17" i="12" s="1"/>
  <c r="AL7" i="10"/>
  <c r="B17" i="12" s="1"/>
  <c r="AO6" i="10"/>
  <c r="E16" i="12" s="1"/>
  <c r="AN6" i="10"/>
  <c r="D16" i="12" s="1"/>
  <c r="AM6" i="10"/>
  <c r="C16" i="12" s="1"/>
  <c r="AL6" i="10"/>
  <c r="B16" i="12" s="1"/>
  <c r="AO5" i="10"/>
  <c r="E25" i="11" s="1"/>
  <c r="AN5" i="10"/>
  <c r="D15" i="12" s="1"/>
  <c r="AM5" i="10"/>
  <c r="C15" i="12" s="1"/>
  <c r="AL5" i="10"/>
  <c r="B15" i="12" s="1"/>
  <c r="C13" i="8"/>
  <c r="B12" i="9" s="1"/>
  <c r="B13" i="8"/>
  <c r="B11" i="9" s="1"/>
  <c r="D11" i="8"/>
  <c r="E11" i="8" s="1"/>
  <c r="D10" i="8"/>
  <c r="E10" i="8" s="1"/>
  <c r="D9" i="8"/>
  <c r="E9" i="8" s="1"/>
  <c r="D8" i="8"/>
  <c r="E8" i="8" s="1"/>
  <c r="D7" i="8"/>
  <c r="E7" i="8" s="1"/>
  <c r="D6" i="8"/>
  <c r="E6" i="8" s="1"/>
  <c r="D5" i="8"/>
  <c r="E5" i="8" s="1"/>
  <c r="D4" i="8"/>
  <c r="E6" i="6"/>
  <c r="B9" i="7" s="1"/>
  <c r="B10" i="9" s="1"/>
  <c r="E5" i="6"/>
  <c r="B8" i="7" s="1"/>
  <c r="B9" i="9" s="1"/>
  <c r="E4" i="6"/>
  <c r="B7" i="7" s="1"/>
  <c r="B8" i="9" s="1"/>
  <c r="C69" i="1"/>
  <c r="C68" i="1"/>
  <c r="C67" i="1"/>
  <c r="C66" i="1"/>
  <c r="C63" i="1"/>
  <c r="C62" i="1"/>
  <c r="C61" i="1"/>
  <c r="C60" i="1"/>
  <c r="C59" i="1"/>
  <c r="C58" i="1"/>
  <c r="C55" i="1"/>
  <c r="C54" i="1"/>
  <c r="C53" i="1"/>
  <c r="C50" i="1"/>
  <c r="C49" i="1"/>
  <c r="F47" i="1"/>
  <c r="F46" i="1"/>
  <c r="F45" i="1"/>
  <c r="B6" i="3" s="1"/>
  <c r="F44" i="1"/>
  <c r="F43" i="1"/>
  <c r="K37" i="1"/>
  <c r="AS36" i="1"/>
  <c r="AR36" i="1"/>
  <c r="AQ36" i="1"/>
  <c r="AP36" i="1"/>
  <c r="AO36" i="1"/>
  <c r="AN36" i="1"/>
  <c r="AM36" i="1"/>
  <c r="AL36" i="1"/>
  <c r="AK36" i="1"/>
  <c r="AJ36" i="1"/>
  <c r="AI36" i="1"/>
  <c r="AH36" i="1"/>
  <c r="AG36" i="1"/>
  <c r="AF36" i="1"/>
  <c r="AE36" i="1"/>
  <c r="AD36" i="1"/>
  <c r="AC36" i="1"/>
  <c r="AB36" i="1"/>
  <c r="AA36" i="1"/>
  <c r="Z36" i="1"/>
  <c r="Y36" i="1"/>
  <c r="X36" i="1"/>
  <c r="W36" i="1"/>
  <c r="V36" i="1"/>
  <c r="U36" i="1"/>
  <c r="T36" i="1"/>
  <c r="S36" i="1"/>
  <c r="R36" i="1"/>
  <c r="Q36" i="1"/>
  <c r="P36" i="1"/>
  <c r="O36" i="1"/>
  <c r="N36" i="1"/>
  <c r="M36" i="1"/>
  <c r="L36" i="1"/>
  <c r="K36" i="1"/>
  <c r="BF34" i="1"/>
  <c r="BM34" i="1" s="1"/>
  <c r="BE34" i="1"/>
  <c r="BL34" i="1" s="1"/>
  <c r="BD34" i="1"/>
  <c r="BK34" i="1" s="1"/>
  <c r="BC34" i="1"/>
  <c r="BJ34" i="1" s="1"/>
  <c r="BB34" i="1"/>
  <c r="BI34" i="1" s="1"/>
  <c r="BA34" i="1"/>
  <c r="BH34" i="1" s="1"/>
  <c r="AZ34" i="1"/>
  <c r="BG34" i="1" s="1"/>
  <c r="AY34" i="1"/>
  <c r="AX34" i="1"/>
  <c r="AZ33" i="1"/>
  <c r="BG33" i="1" s="1"/>
  <c r="AY33" i="1"/>
  <c r="AX33" i="1"/>
  <c r="BF32" i="1"/>
  <c r="BM32" i="1" s="1"/>
  <c r="BE32" i="1"/>
  <c r="BL32" i="1" s="1"/>
  <c r="BD32" i="1"/>
  <c r="BK32" i="1" s="1"/>
  <c r="BC32" i="1"/>
  <c r="BJ32" i="1" s="1"/>
  <c r="BB32" i="1"/>
  <c r="BI32" i="1" s="1"/>
  <c r="BA32" i="1"/>
  <c r="BH32" i="1" s="1"/>
  <c r="AZ32" i="1"/>
  <c r="BG32" i="1" s="1"/>
  <c r="AY32" i="1"/>
  <c r="AX32" i="1"/>
  <c r="BF31" i="1"/>
  <c r="BM31" i="1" s="1"/>
  <c r="BE31" i="1"/>
  <c r="BL31" i="1" s="1"/>
  <c r="BD31" i="1"/>
  <c r="BK31" i="1" s="1"/>
  <c r="BC31" i="1"/>
  <c r="BJ31" i="1" s="1"/>
  <c r="BB31" i="1"/>
  <c r="BI31" i="1" s="1"/>
  <c r="BA31" i="1"/>
  <c r="BH31" i="1" s="1"/>
  <c r="AZ31" i="1"/>
  <c r="BG31" i="1" s="1"/>
  <c r="AY31" i="1"/>
  <c r="AX31" i="1"/>
  <c r="BF30" i="1"/>
  <c r="BM30" i="1" s="1"/>
  <c r="BE30" i="1"/>
  <c r="BL30" i="1" s="1"/>
  <c r="BD30" i="1"/>
  <c r="BK30" i="1" s="1"/>
  <c r="BC30" i="1"/>
  <c r="BJ30" i="1" s="1"/>
  <c r="BB30" i="1"/>
  <c r="BI30" i="1" s="1"/>
  <c r="BA30" i="1"/>
  <c r="BH30" i="1" s="1"/>
  <c r="AZ30" i="1"/>
  <c r="BG30" i="1" s="1"/>
  <c r="AY30" i="1"/>
  <c r="AX30" i="1"/>
  <c r="AZ29" i="1"/>
  <c r="BG29" i="1" s="1"/>
  <c r="AY29" i="1"/>
  <c r="AX29" i="1"/>
  <c r="BF28" i="1"/>
  <c r="BM28" i="1" s="1"/>
  <c r="BE28" i="1"/>
  <c r="BL28" i="1" s="1"/>
  <c r="BD28" i="1"/>
  <c r="BK28" i="1" s="1"/>
  <c r="BC28" i="1"/>
  <c r="BJ28" i="1" s="1"/>
  <c r="BB28" i="1"/>
  <c r="BI28" i="1" s="1"/>
  <c r="BA28" i="1"/>
  <c r="BH28" i="1" s="1"/>
  <c r="AZ28" i="1"/>
  <c r="BG28" i="1" s="1"/>
  <c r="AY28" i="1"/>
  <c r="AX28" i="1"/>
  <c r="BF27" i="1"/>
  <c r="BM27" i="1" s="1"/>
  <c r="BE27" i="1"/>
  <c r="BL27" i="1" s="1"/>
  <c r="BD27" i="1"/>
  <c r="BK27" i="1" s="1"/>
  <c r="BC27" i="1"/>
  <c r="BJ27" i="1" s="1"/>
  <c r="BB27" i="1"/>
  <c r="BI27" i="1" s="1"/>
  <c r="BA27" i="1"/>
  <c r="BH27" i="1" s="1"/>
  <c r="AZ27" i="1"/>
  <c r="BG27" i="1" s="1"/>
  <c r="AY27" i="1"/>
  <c r="AX27" i="1"/>
  <c r="BF26" i="1"/>
  <c r="BM26" i="1" s="1"/>
  <c r="BE26" i="1"/>
  <c r="BL26" i="1" s="1"/>
  <c r="BD26" i="1"/>
  <c r="BK26" i="1" s="1"/>
  <c r="BC26" i="1"/>
  <c r="BJ26" i="1" s="1"/>
  <c r="BB26" i="1"/>
  <c r="BI26" i="1" s="1"/>
  <c r="BA26" i="1"/>
  <c r="BH26" i="1" s="1"/>
  <c r="AZ26" i="1"/>
  <c r="BG26" i="1" s="1"/>
  <c r="AY26" i="1"/>
  <c r="AX26" i="1"/>
  <c r="AZ25" i="1"/>
  <c r="BG25" i="1" s="1"/>
  <c r="AY25" i="1"/>
  <c r="AX25" i="1"/>
  <c r="AZ24" i="1"/>
  <c r="BG24" i="1" s="1"/>
  <c r="AY24" i="1"/>
  <c r="AX24" i="1"/>
  <c r="BF23" i="1"/>
  <c r="BM23" i="1" s="1"/>
  <c r="BE23" i="1"/>
  <c r="BL23" i="1" s="1"/>
  <c r="BD23" i="1"/>
  <c r="BK23" i="1" s="1"/>
  <c r="BC23" i="1"/>
  <c r="BJ23" i="1" s="1"/>
  <c r="BB23" i="1"/>
  <c r="BI23" i="1" s="1"/>
  <c r="BA23" i="1"/>
  <c r="BH23" i="1" s="1"/>
  <c r="AZ23" i="1"/>
  <c r="BG23" i="1" s="1"/>
  <c r="AY23" i="1"/>
  <c r="AX23" i="1"/>
  <c r="BF22" i="1"/>
  <c r="BM22" i="1" s="1"/>
  <c r="BE22" i="1"/>
  <c r="BL22" i="1" s="1"/>
  <c r="BD22" i="1"/>
  <c r="BK22" i="1" s="1"/>
  <c r="BC22" i="1"/>
  <c r="BJ22" i="1" s="1"/>
  <c r="BB22" i="1"/>
  <c r="BI22" i="1" s="1"/>
  <c r="BA22" i="1"/>
  <c r="BH22" i="1" s="1"/>
  <c r="AZ22" i="1"/>
  <c r="BG22" i="1" s="1"/>
  <c r="AY22" i="1"/>
  <c r="AX22" i="1"/>
  <c r="BF21" i="1"/>
  <c r="BM21" i="1" s="1"/>
  <c r="BE21" i="1"/>
  <c r="BL21" i="1" s="1"/>
  <c r="BD21" i="1"/>
  <c r="BK21" i="1" s="1"/>
  <c r="BC21" i="1"/>
  <c r="BJ21" i="1" s="1"/>
  <c r="BB21" i="1"/>
  <c r="BI21" i="1" s="1"/>
  <c r="BA21" i="1"/>
  <c r="BH21" i="1" s="1"/>
  <c r="AZ21" i="1"/>
  <c r="BG21" i="1" s="1"/>
  <c r="AY21" i="1"/>
  <c r="AX21" i="1"/>
  <c r="BF20" i="1"/>
  <c r="BM20" i="1" s="1"/>
  <c r="BE20" i="1"/>
  <c r="BL20" i="1" s="1"/>
  <c r="BD20" i="1"/>
  <c r="BK20" i="1" s="1"/>
  <c r="BC20" i="1"/>
  <c r="BJ20" i="1" s="1"/>
  <c r="BB20" i="1"/>
  <c r="BI20" i="1" s="1"/>
  <c r="BA20" i="1"/>
  <c r="BH20" i="1" s="1"/>
  <c r="AZ20" i="1"/>
  <c r="BG20" i="1" s="1"/>
  <c r="AY20" i="1"/>
  <c r="AX20" i="1"/>
  <c r="BF19" i="1"/>
  <c r="BM19" i="1" s="1"/>
  <c r="BE19" i="1"/>
  <c r="BL19" i="1" s="1"/>
  <c r="BD19" i="1"/>
  <c r="BK19" i="1" s="1"/>
  <c r="BC19" i="1"/>
  <c r="BJ19" i="1" s="1"/>
  <c r="BB19" i="1"/>
  <c r="BI19" i="1" s="1"/>
  <c r="BA19" i="1"/>
  <c r="BH19" i="1" s="1"/>
  <c r="AZ19" i="1"/>
  <c r="BG19" i="1" s="1"/>
  <c r="AY19" i="1"/>
  <c r="AX19" i="1"/>
  <c r="BF18" i="1"/>
  <c r="BM18" i="1" s="1"/>
  <c r="BE18" i="1"/>
  <c r="BL18" i="1" s="1"/>
  <c r="BD18" i="1"/>
  <c r="BK18" i="1" s="1"/>
  <c r="BC18" i="1"/>
  <c r="BJ18" i="1" s="1"/>
  <c r="BB18" i="1"/>
  <c r="BI18" i="1" s="1"/>
  <c r="BA18" i="1"/>
  <c r="BH18" i="1" s="1"/>
  <c r="AZ18" i="1"/>
  <c r="BG18" i="1" s="1"/>
  <c r="AY18" i="1"/>
  <c r="AX18" i="1"/>
  <c r="BF17" i="1"/>
  <c r="BM17" i="1" s="1"/>
  <c r="BE17" i="1"/>
  <c r="BL17" i="1" s="1"/>
  <c r="BD17" i="1"/>
  <c r="BK17" i="1" s="1"/>
  <c r="BC17" i="1"/>
  <c r="BJ17" i="1" s="1"/>
  <c r="BB17" i="1"/>
  <c r="BI17" i="1" s="1"/>
  <c r="BA17" i="1"/>
  <c r="BH17" i="1" s="1"/>
  <c r="AZ17" i="1"/>
  <c r="BG17" i="1" s="1"/>
  <c r="AY17" i="1"/>
  <c r="AX17" i="1"/>
  <c r="BF16" i="1"/>
  <c r="BM16" i="1" s="1"/>
  <c r="BE16" i="1"/>
  <c r="BL16" i="1" s="1"/>
  <c r="BD16" i="1"/>
  <c r="BK16" i="1" s="1"/>
  <c r="BC16" i="1"/>
  <c r="BJ16" i="1" s="1"/>
  <c r="BB16" i="1"/>
  <c r="BI16" i="1" s="1"/>
  <c r="BA16" i="1"/>
  <c r="BH16" i="1" s="1"/>
  <c r="AZ16" i="1"/>
  <c r="BG16" i="1" s="1"/>
  <c r="AY16" i="1"/>
  <c r="AX16" i="1"/>
  <c r="BF15" i="1"/>
  <c r="BM15" i="1" s="1"/>
  <c r="BE15" i="1"/>
  <c r="BL15" i="1" s="1"/>
  <c r="BD15" i="1"/>
  <c r="BK15" i="1" s="1"/>
  <c r="BC15" i="1"/>
  <c r="BJ15" i="1" s="1"/>
  <c r="BB15" i="1"/>
  <c r="BI15" i="1" s="1"/>
  <c r="BA15" i="1"/>
  <c r="BH15" i="1" s="1"/>
  <c r="AZ15" i="1"/>
  <c r="BG15" i="1" s="1"/>
  <c r="AY15" i="1"/>
  <c r="AX15" i="1"/>
  <c r="BF14" i="1"/>
  <c r="BM14" i="1" s="1"/>
  <c r="BE14" i="1"/>
  <c r="BL14" i="1" s="1"/>
  <c r="BD14" i="1"/>
  <c r="BK14" i="1" s="1"/>
  <c r="BC14" i="1"/>
  <c r="BJ14" i="1" s="1"/>
  <c r="BB14" i="1"/>
  <c r="BI14" i="1" s="1"/>
  <c r="BA14" i="1"/>
  <c r="BH14" i="1" s="1"/>
  <c r="AZ14" i="1"/>
  <c r="BG14" i="1" s="1"/>
  <c r="AY14" i="1"/>
  <c r="AX14" i="1"/>
  <c r="AZ13" i="1"/>
  <c r="BG13" i="1" s="1"/>
  <c r="AY13" i="1"/>
  <c r="AX13" i="1"/>
  <c r="AZ12" i="1"/>
  <c r="BG12" i="1" s="1"/>
  <c r="AY12" i="1"/>
  <c r="AX12" i="1"/>
  <c r="AZ11" i="1"/>
  <c r="BG11" i="1" s="1"/>
  <c r="AY11" i="1"/>
  <c r="AX11" i="1"/>
  <c r="AZ10" i="1"/>
  <c r="BG10" i="1" s="1"/>
  <c r="AY10" i="1"/>
  <c r="AX10" i="1"/>
  <c r="AZ9" i="1"/>
  <c r="BG9" i="1" s="1"/>
  <c r="AY9" i="1"/>
  <c r="AX9" i="1"/>
  <c r="BF8" i="1"/>
  <c r="BM8" i="1" s="1"/>
  <c r="BE8" i="1"/>
  <c r="BL8" i="1" s="1"/>
  <c r="BD8" i="1"/>
  <c r="BK8" i="1" s="1"/>
  <c r="BC8" i="1"/>
  <c r="BJ8" i="1" s="1"/>
  <c r="BB8" i="1"/>
  <c r="BI8" i="1" s="1"/>
  <c r="BA8" i="1"/>
  <c r="BH8" i="1" s="1"/>
  <c r="AZ8" i="1"/>
  <c r="BG8" i="1" s="1"/>
  <c r="AY8" i="1"/>
  <c r="AX8" i="1"/>
  <c r="AZ7" i="1"/>
  <c r="BG7" i="1" s="1"/>
  <c r="AY7" i="1"/>
  <c r="AX7" i="1"/>
  <c r="AZ6" i="1"/>
  <c r="BG6" i="1" s="1"/>
  <c r="AY6" i="1"/>
  <c r="AX6" i="1"/>
  <c r="BF5" i="1"/>
  <c r="BM5" i="1" s="1"/>
  <c r="BE5" i="1"/>
  <c r="BL5" i="1" s="1"/>
  <c r="BD5" i="1"/>
  <c r="BK5" i="1" s="1"/>
  <c r="BC5" i="1"/>
  <c r="BJ5" i="1" s="1"/>
  <c r="BB5" i="1"/>
  <c r="BI5" i="1" s="1"/>
  <c r="BA5" i="1"/>
  <c r="BH5" i="1" s="1"/>
  <c r="AZ5" i="1"/>
  <c r="BG5" i="1" s="1"/>
  <c r="AY5" i="1"/>
  <c r="AX5" i="1"/>
  <c r="AZ4" i="1"/>
  <c r="BG4" i="1" s="1"/>
  <c r="AX4" i="1"/>
  <c r="AZ3" i="1"/>
  <c r="BG3" i="1" s="1"/>
  <c r="AX3" i="1"/>
  <c r="D43" i="11"/>
  <c r="C43" i="11"/>
  <c r="B43" i="11"/>
  <c r="E42" i="11"/>
  <c r="B41" i="11"/>
  <c r="E40" i="11"/>
  <c r="C39" i="11"/>
  <c r="B39" i="11"/>
  <c r="E38" i="11"/>
  <c r="B37" i="11"/>
  <c r="E36" i="11"/>
  <c r="B35" i="11"/>
  <c r="E34" i="11"/>
  <c r="B33" i="11"/>
  <c r="E32" i="11"/>
  <c r="B31" i="11"/>
  <c r="E30" i="11"/>
  <c r="B29" i="11"/>
  <c r="E28" i="11"/>
  <c r="C27" i="11"/>
  <c r="B27" i="11"/>
  <c r="E26" i="11"/>
  <c r="B25" i="11"/>
  <c r="C21" i="11"/>
  <c r="C20" i="11"/>
  <c r="C19" i="11"/>
  <c r="C18" i="11"/>
  <c r="E13" i="11"/>
  <c r="E12" i="11"/>
  <c r="B9" i="11"/>
  <c r="D8" i="11"/>
  <c r="C8" i="11"/>
  <c r="B8" i="11"/>
  <c r="D7" i="11"/>
  <c r="C7" i="11"/>
  <c r="E6" i="11"/>
  <c r="D6" i="11"/>
  <c r="E5" i="11"/>
  <c r="D5" i="11"/>
  <c r="C29" i="11" l="1"/>
  <c r="C35" i="11"/>
  <c r="C25" i="11"/>
  <c r="F25" i="11" s="1"/>
  <c r="C41" i="11"/>
  <c r="C31" i="11"/>
  <c r="C37" i="11"/>
  <c r="C33" i="11"/>
  <c r="E31" i="11"/>
  <c r="D41" i="11"/>
  <c r="D27" i="11"/>
  <c r="I27" i="11" s="1"/>
  <c r="D25" i="11"/>
  <c r="H25" i="11" s="1"/>
  <c r="E41" i="11"/>
  <c r="E33" i="11"/>
  <c r="E39" i="11"/>
  <c r="B34" i="11"/>
  <c r="C51" i="1"/>
  <c r="B42" i="11"/>
  <c r="B28" i="11"/>
  <c r="B36" i="11"/>
  <c r="B26" i="11"/>
  <c r="C56" i="1"/>
  <c r="D54" i="1"/>
  <c r="AY37" i="1"/>
  <c r="G16" i="12"/>
  <c r="G18" i="12"/>
  <c r="G20" i="12"/>
  <c r="G22" i="12"/>
  <c r="G24" i="12"/>
  <c r="B19" i="11"/>
  <c r="D19" i="11" s="1"/>
  <c r="C7" i="12" s="1"/>
  <c r="C36" i="11"/>
  <c r="C40" i="11"/>
  <c r="C42" i="11"/>
  <c r="C40" i="12"/>
  <c r="H43" i="11"/>
  <c r="C28" i="11"/>
  <c r="C34" i="11"/>
  <c r="D40" i="11"/>
  <c r="D42" i="11"/>
  <c r="D13" i="8"/>
  <c r="E13" i="8" s="1"/>
  <c r="B13" i="9" s="1"/>
  <c r="H29" i="11"/>
  <c r="C26" i="11"/>
  <c r="C32" i="11"/>
  <c r="D34" i="11"/>
  <c r="F48" i="1"/>
  <c r="C8" i="5" s="1"/>
  <c r="G8" i="5" s="1"/>
  <c r="H8" i="5" s="1"/>
  <c r="E4" i="8"/>
  <c r="AO24" i="10"/>
  <c r="G26" i="12"/>
  <c r="C30" i="11"/>
  <c r="D26" i="11"/>
  <c r="D32" i="11"/>
  <c r="C38" i="11"/>
  <c r="B20" i="11"/>
  <c r="D20" i="11" s="1"/>
  <c r="C8" i="12" s="1"/>
  <c r="AZ38" i="1"/>
  <c r="D50" i="1"/>
  <c r="C64" i="1"/>
  <c r="D60" i="1" s="1"/>
  <c r="E15" i="12"/>
  <c r="H15" i="12" s="1"/>
  <c r="D37" i="11"/>
  <c r="AX37" i="1"/>
  <c r="BH37" i="1"/>
  <c r="BH39" i="1" s="1"/>
  <c r="D5" i="4" s="1"/>
  <c r="D21" i="12"/>
  <c r="H21" i="12" s="1"/>
  <c r="C14" i="11"/>
  <c r="B7" i="12" s="1"/>
  <c r="D33" i="11"/>
  <c r="D35" i="11"/>
  <c r="BJ37" i="1"/>
  <c r="BJ39" i="1" s="1"/>
  <c r="D7" i="4" s="1"/>
  <c r="D19" i="12"/>
  <c r="D55" i="1"/>
  <c r="C70" i="1"/>
  <c r="D68" i="1" s="1"/>
  <c r="E19" i="12"/>
  <c r="F19" i="12" s="1"/>
  <c r="BG37" i="1"/>
  <c r="B14" i="11"/>
  <c r="B6" i="12" s="1"/>
  <c r="I43" i="11"/>
  <c r="B18" i="11"/>
  <c r="D18" i="11" s="1"/>
  <c r="C6" i="12" s="1"/>
  <c r="D39" i="11"/>
  <c r="E17" i="12"/>
  <c r="F17" i="12" s="1"/>
  <c r="G29" i="12"/>
  <c r="F29" i="12"/>
  <c r="H29" i="12"/>
  <c r="BM37" i="1"/>
  <c r="BM39" i="1" s="1"/>
  <c r="D10" i="4" s="1"/>
  <c r="BL37" i="1"/>
  <c r="BL39" i="1" s="1"/>
  <c r="D9" i="4" s="1"/>
  <c r="G31" i="12"/>
  <c r="F31" i="12"/>
  <c r="H31" i="12"/>
  <c r="F29" i="11"/>
  <c r="G43" i="11"/>
  <c r="B4" i="3"/>
  <c r="B7" i="3"/>
  <c r="AN24" i="10"/>
  <c r="G29" i="11"/>
  <c r="B5" i="3"/>
  <c r="D49" i="1"/>
  <c r="G32" i="12"/>
  <c r="F32" i="12"/>
  <c r="H32" i="12"/>
  <c r="BG38" i="1"/>
  <c r="B20" i="12"/>
  <c r="F20" i="12" s="1"/>
  <c r="B30" i="11"/>
  <c r="B22" i="12"/>
  <c r="F22" i="12" s="1"/>
  <c r="B32" i="11"/>
  <c r="B28" i="12"/>
  <c r="F28" i="12" s="1"/>
  <c r="B38" i="11"/>
  <c r="B30" i="12"/>
  <c r="F30" i="12" s="1"/>
  <c r="B40" i="11"/>
  <c r="F21" i="12"/>
  <c r="F23" i="12"/>
  <c r="H23" i="12"/>
  <c r="E25" i="12"/>
  <c r="E27" i="12"/>
  <c r="B21" i="11"/>
  <c r="D21" i="11" s="1"/>
  <c r="C9" i="12" s="1"/>
  <c r="I29" i="11"/>
  <c r="G21" i="12"/>
  <c r="G23" i="12"/>
  <c r="G30" i="12"/>
  <c r="H30" i="12"/>
  <c r="F43" i="11"/>
  <c r="D14" i="11"/>
  <c r="B8" i="12" s="1"/>
  <c r="BI37" i="1"/>
  <c r="BI39" i="1" s="1"/>
  <c r="D6" i="4" s="1"/>
  <c r="D28" i="12"/>
  <c r="H28" i="12" s="1"/>
  <c r="E33" i="12"/>
  <c r="E14" i="11"/>
  <c r="B9" i="12" s="1"/>
  <c r="BK37" i="1"/>
  <c r="BK39" i="1" s="1"/>
  <c r="D8" i="4" s="1"/>
  <c r="D53" i="1"/>
  <c r="D18" i="12"/>
  <c r="H18" i="12" s="1"/>
  <c r="D20" i="12"/>
  <c r="H20" i="12" s="1"/>
  <c r="D26" i="12"/>
  <c r="H26" i="12" s="1"/>
  <c r="G28" i="12"/>
  <c r="B8" i="3"/>
  <c r="F16" i="12"/>
  <c r="H16" i="12"/>
  <c r="F18" i="12"/>
  <c r="H22" i="12"/>
  <c r="F24" i="12"/>
  <c r="H24" i="12"/>
  <c r="F26" i="12"/>
  <c r="AL24" i="10"/>
  <c r="AM24" i="10"/>
  <c r="H35" i="11" l="1"/>
  <c r="F27" i="11"/>
  <c r="G27" i="11"/>
  <c r="G25" i="11"/>
  <c r="I33" i="11"/>
  <c r="H27" i="11"/>
  <c r="F41" i="11"/>
  <c r="I25" i="11"/>
  <c r="J25" i="11" s="1"/>
  <c r="G31" i="11"/>
  <c r="H41" i="11"/>
  <c r="G41" i="11"/>
  <c r="I41" i="11"/>
  <c r="H39" i="11"/>
  <c r="I37" i="11"/>
  <c r="D58" i="1"/>
  <c r="D61" i="1"/>
  <c r="D62" i="1"/>
  <c r="F31" i="11"/>
  <c r="H37" i="11"/>
  <c r="H31" i="11"/>
  <c r="H26" i="11"/>
  <c r="G17" i="12"/>
  <c r="F34" i="11"/>
  <c r="H17" i="12"/>
  <c r="I26" i="11"/>
  <c r="D63" i="1"/>
  <c r="I31" i="11"/>
  <c r="G33" i="11"/>
  <c r="F15" i="12"/>
  <c r="F26" i="11"/>
  <c r="H33" i="11"/>
  <c r="G15" i="12"/>
  <c r="F33" i="11"/>
  <c r="H36" i="11"/>
  <c r="F28" i="11"/>
  <c r="D56" i="1"/>
  <c r="G34" i="11"/>
  <c r="I34" i="11"/>
  <c r="D51" i="1"/>
  <c r="D59" i="1"/>
  <c r="AY38" i="1"/>
  <c r="H28" i="11"/>
  <c r="G19" i="12"/>
  <c r="H42" i="11"/>
  <c r="G28" i="11"/>
  <c r="C7" i="5"/>
  <c r="G7" i="5" s="1"/>
  <c r="H7" i="5" s="1"/>
  <c r="H19" i="12"/>
  <c r="C4" i="5"/>
  <c r="G4" i="5" s="1"/>
  <c r="H4" i="5" s="1"/>
  <c r="G35" i="11"/>
  <c r="G37" i="11"/>
  <c r="G42" i="11"/>
  <c r="I42" i="11"/>
  <c r="I28" i="11"/>
  <c r="F42" i="11"/>
  <c r="G26" i="11"/>
  <c r="H32" i="11"/>
  <c r="J43" i="11"/>
  <c r="C10" i="5"/>
  <c r="G10" i="5" s="1"/>
  <c r="H10" i="5" s="1"/>
  <c r="C9" i="4"/>
  <c r="E9" i="4" s="1"/>
  <c r="G9" i="4" s="1"/>
  <c r="C7" i="4"/>
  <c r="F7" i="4" s="1"/>
  <c r="G43" i="1"/>
  <c r="I36" i="11"/>
  <c r="H34" i="11"/>
  <c r="G47" i="1"/>
  <c r="C8" i="4"/>
  <c r="E8" i="4" s="1"/>
  <c r="G8" i="4" s="1"/>
  <c r="G45" i="1"/>
  <c r="C6" i="5"/>
  <c r="G6" i="5" s="1"/>
  <c r="H6" i="5" s="1"/>
  <c r="C4" i="4"/>
  <c r="C5" i="4"/>
  <c r="F5" i="4" s="1"/>
  <c r="BG39" i="1"/>
  <c r="D4" i="4" s="1"/>
  <c r="G44" i="1"/>
  <c r="D40" i="12"/>
  <c r="G36" i="11"/>
  <c r="F36" i="11"/>
  <c r="C9" i="5"/>
  <c r="G9" i="5" s="1"/>
  <c r="H9" i="5" s="1"/>
  <c r="F37" i="11"/>
  <c r="C10" i="4"/>
  <c r="F10" i="4" s="1"/>
  <c r="C5" i="5"/>
  <c r="G5" i="5" s="1"/>
  <c r="H5" i="5" s="1"/>
  <c r="C6" i="4"/>
  <c r="F6" i="4" s="1"/>
  <c r="G46" i="1"/>
  <c r="D69" i="1"/>
  <c r="C41" i="12"/>
  <c r="C39" i="12"/>
  <c r="G39" i="11"/>
  <c r="F39" i="11"/>
  <c r="D8" i="12"/>
  <c r="F35" i="11"/>
  <c r="D67" i="1"/>
  <c r="D41" i="12"/>
  <c r="D66" i="1"/>
  <c r="D39" i="12"/>
  <c r="I35" i="11"/>
  <c r="I39" i="11"/>
  <c r="D9" i="12"/>
  <c r="E8" i="12"/>
  <c r="F8" i="12" s="1"/>
  <c r="E6" i="12"/>
  <c r="F6" i="12" s="1"/>
  <c r="E9" i="12"/>
  <c r="E7" i="12"/>
  <c r="F7" i="12" s="1"/>
  <c r="F30" i="11"/>
  <c r="I30" i="11"/>
  <c r="H30" i="11"/>
  <c r="G30" i="11"/>
  <c r="J29" i="11"/>
  <c r="F40" i="11"/>
  <c r="G40" i="11"/>
  <c r="I40" i="11"/>
  <c r="B10" i="3"/>
  <c r="C7" i="3" s="1"/>
  <c r="G33" i="12"/>
  <c r="F33" i="12"/>
  <c r="H33" i="12"/>
  <c r="J27" i="11"/>
  <c r="D7" i="12"/>
  <c r="G27" i="12"/>
  <c r="F27" i="12"/>
  <c r="H27" i="12"/>
  <c r="F38" i="11"/>
  <c r="I38" i="11"/>
  <c r="H38" i="11"/>
  <c r="G38" i="11"/>
  <c r="H40" i="11"/>
  <c r="F25" i="12"/>
  <c r="H25" i="12"/>
  <c r="G25" i="12"/>
  <c r="F32" i="11"/>
  <c r="G32" i="11"/>
  <c r="I32" i="11"/>
  <c r="D6" i="12"/>
  <c r="J41" i="11" l="1"/>
  <c r="J31" i="11"/>
  <c r="D64" i="1"/>
  <c r="F9" i="4"/>
  <c r="J33" i="11"/>
  <c r="E6" i="4"/>
  <c r="G6" i="4" s="1"/>
  <c r="J26" i="11"/>
  <c r="J34" i="11"/>
  <c r="J28" i="11"/>
  <c r="E7" i="4"/>
  <c r="G7" i="4" s="1"/>
  <c r="J42" i="11"/>
  <c r="I44" i="11"/>
  <c r="F4" i="4"/>
  <c r="J36" i="11"/>
  <c r="J37" i="11"/>
  <c r="E4" i="4"/>
  <c r="G4" i="4" s="1"/>
  <c r="G48" i="1"/>
  <c r="E5" i="4"/>
  <c r="G5" i="4" s="1"/>
  <c r="C13" i="5"/>
  <c r="C14" i="5"/>
  <c r="B40" i="12"/>
  <c r="I40" i="12" s="1"/>
  <c r="E10" i="4"/>
  <c r="G10" i="4" s="1"/>
  <c r="F8" i="4"/>
  <c r="F41" i="12"/>
  <c r="J39" i="11"/>
  <c r="C4" i="3"/>
  <c r="B39" i="12"/>
  <c r="I39" i="12" s="1"/>
  <c r="J38" i="11"/>
  <c r="G44" i="11"/>
  <c r="E41" i="12"/>
  <c r="B41" i="12"/>
  <c r="I41" i="12" s="1"/>
  <c r="H44" i="11"/>
  <c r="D70" i="1"/>
  <c r="F39" i="12"/>
  <c r="J35" i="11"/>
  <c r="E39" i="12"/>
  <c r="B4" i="9"/>
  <c r="C6" i="3"/>
  <c r="J30" i="11"/>
  <c r="J32" i="11"/>
  <c r="C5" i="3"/>
  <c r="E40" i="12"/>
  <c r="F40" i="12"/>
  <c r="F44" i="11"/>
  <c r="J40" i="11"/>
  <c r="C8" i="3"/>
  <c r="E15" i="4" l="1"/>
  <c r="B5" i="7" s="1"/>
  <c r="B6" i="9" s="1"/>
  <c r="G39" i="12"/>
  <c r="H39" i="12" s="1"/>
  <c r="J39" i="12" s="1"/>
  <c r="M39" i="12" s="1"/>
  <c r="N39" i="12" s="1"/>
  <c r="G40" i="12"/>
  <c r="H40" i="12" s="1"/>
  <c r="J40" i="12" s="1"/>
  <c r="M40" i="12" s="1"/>
  <c r="N40" i="12" s="1"/>
  <c r="B6" i="7"/>
  <c r="B7" i="9" s="1"/>
  <c r="E13" i="4"/>
  <c r="E14" i="4"/>
  <c r="C10" i="3"/>
  <c r="G41" i="12"/>
  <c r="L39" i="12"/>
  <c r="K39" i="12"/>
  <c r="K41" i="12"/>
  <c r="K40" i="12"/>
  <c r="L40" i="12"/>
  <c r="B4" i="7" l="1"/>
  <c r="B5" i="9" s="1"/>
  <c r="L41" i="12"/>
  <c r="H41" i="12"/>
  <c r="J41" i="12" s="1"/>
  <c r="M41" i="12" s="1"/>
  <c r="N4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4" authorId="0" shapeId="0" xr:uid="{00000000-0006-0000-0900-000001000000}">
      <text>
        <r>
          <rPr>
            <sz val="10"/>
            <rFont val="Arial"/>
            <family val="2"/>
          </rPr>
          <t>Proposed criterion for the comparative evaluation. Ratings shown in this worksheet are dummy data for demonstrating calculations only.</t>
        </r>
      </text>
    </comment>
    <comment ref="B4" authorId="0" shapeId="0" xr:uid="{00000000-0006-0000-0900-000015000000}">
      <text>
        <r>
          <rPr>
            <sz val="10"/>
            <rFont val="Arial"/>
            <family val="2"/>
          </rPr>
          <t>Proposed criterion for the comparative evaluation. Ratings shown in this worksheet are dummy data for demonstrating calculations only.</t>
        </r>
      </text>
    </comment>
    <comment ref="C4" authorId="0" shapeId="0" xr:uid="{00000000-0006-0000-0900-000016000000}">
      <text>
        <r>
          <rPr>
            <sz val="10"/>
            <rFont val="Arial"/>
            <family val="2"/>
          </rPr>
          <t>Proposed criterion for the comparative evaluation. Ratings shown in this worksheet are dummy data for demonstrating calculations only.</t>
        </r>
      </text>
    </comment>
    <comment ref="D4" authorId="0" shapeId="0" xr:uid="{00000000-0006-0000-0900-000017000000}">
      <text>
        <r>
          <rPr>
            <sz val="10"/>
            <rFont val="Arial"/>
            <family val="2"/>
          </rPr>
          <t>Proposed criterion for the comparative evaluation. Ratings shown in this worksheet are dummy data for demonstrating calculations only.</t>
        </r>
      </text>
    </comment>
    <comment ref="E4" authorId="0" shapeId="0" xr:uid="{00000000-0006-0000-0900-000018000000}">
      <text>
        <r>
          <rPr>
            <sz val="10"/>
            <rFont val="Arial"/>
            <family val="2"/>
          </rPr>
          <t>Proposed criterion for the comparative evaluation. Ratings shown in this worksheet are dummy data for demonstrating calculations only.</t>
        </r>
      </text>
    </comment>
    <comment ref="F4" authorId="0" shapeId="0" xr:uid="{00000000-0006-0000-0900-000019000000}">
      <text>
        <r>
          <rPr>
            <sz val="10"/>
            <rFont val="Arial"/>
            <family val="2"/>
          </rPr>
          <t>Proposed criterion for the comparative evaluation. Ratings shown in this worksheet are dummy data for demonstrating calculations only.</t>
        </r>
      </text>
    </comment>
    <comment ref="G4" authorId="0" shapeId="0" xr:uid="{00000000-0006-0000-0900-00001A000000}">
      <text>
        <r>
          <rPr>
            <sz val="10"/>
            <rFont val="Arial"/>
            <family val="2"/>
          </rPr>
          <t>Proposed criterion for the comparative evaluation. Ratings shown in this worksheet are dummy data for demonstrating calculations only.</t>
        </r>
      </text>
    </comment>
    <comment ref="H4" authorId="0" shapeId="0" xr:uid="{00000000-0006-0000-0900-00001B000000}">
      <text>
        <r>
          <rPr>
            <sz val="10"/>
            <rFont val="Arial"/>
            <family val="2"/>
          </rPr>
          <t>Proposed criterion for the comparative evaluation. Ratings shown in this worksheet are dummy data for demonstrating calculations only.</t>
        </r>
      </text>
    </comment>
    <comment ref="I4" authorId="0" shapeId="0" xr:uid="{00000000-0006-0000-0900-00001C000000}">
      <text>
        <r>
          <rPr>
            <sz val="10"/>
            <rFont val="Arial"/>
            <family val="2"/>
          </rPr>
          <t>Proposed criterion for the comparative evaluation. Ratings shown in this worksheet are dummy data for demonstrating calculations only.</t>
        </r>
      </text>
    </comment>
    <comment ref="J4" authorId="0" shapeId="0" xr:uid="{00000000-0006-0000-0900-00001D000000}">
      <text>
        <r>
          <rPr>
            <sz val="10"/>
            <rFont val="Arial"/>
            <family val="2"/>
          </rPr>
          <t>Proposed criterion for the comparative evaluation. Ratings shown in this worksheet are dummy data for demonstrating calculations only.</t>
        </r>
      </text>
    </comment>
    <comment ref="K4" authorId="0" shapeId="0" xr:uid="{00000000-0006-0000-0900-00001E000000}">
      <text>
        <r>
          <rPr>
            <sz val="10"/>
            <rFont val="Arial"/>
            <family val="2"/>
          </rPr>
          <t>Proposed criterion for the comparative evaluation. Ratings shown in this worksheet are dummy data for demonstrating calculations only.</t>
        </r>
      </text>
    </comment>
    <comment ref="L4" authorId="0" shapeId="0" xr:uid="{00000000-0006-0000-0900-00001F000000}">
      <text>
        <r>
          <rPr>
            <sz val="10"/>
            <rFont val="Arial"/>
            <family val="2"/>
          </rPr>
          <t>Proposed criterion for the comparative evaluation. Ratings shown in this worksheet are dummy data for demonstrating calculations only.</t>
        </r>
      </text>
    </comment>
    <comment ref="M4" authorId="0" shapeId="0" xr:uid="{00000000-0006-0000-0900-000020000000}">
      <text>
        <r>
          <rPr>
            <sz val="10"/>
            <rFont val="Arial"/>
            <family val="2"/>
          </rPr>
          <t>Proposed criterion for the comparative evaluation. Ratings shown in this worksheet are dummy data for demonstrating calculations only.</t>
        </r>
      </text>
    </comment>
    <comment ref="N4" authorId="0" shapeId="0" xr:uid="{00000000-0006-0000-0900-000021000000}">
      <text>
        <r>
          <rPr>
            <sz val="10"/>
            <rFont val="Arial"/>
            <family val="2"/>
          </rPr>
          <t>Proposed criterion for the comparative evaluation. Ratings shown in this worksheet are dummy data for demonstrating calculations only.</t>
        </r>
      </text>
    </comment>
    <comment ref="O4" authorId="0" shapeId="0" xr:uid="{00000000-0006-0000-0900-000022000000}">
      <text>
        <r>
          <rPr>
            <sz val="10"/>
            <rFont val="Arial"/>
            <family val="2"/>
          </rPr>
          <t>Proposed criterion for the comparative evaluation. Ratings shown in this worksheet are dummy data for demonstrating calculations only.</t>
        </r>
      </text>
    </comment>
    <comment ref="P4" authorId="0" shapeId="0" xr:uid="{00000000-0006-0000-0900-000023000000}">
      <text>
        <r>
          <rPr>
            <sz val="10"/>
            <rFont val="Arial"/>
            <family val="2"/>
          </rPr>
          <t>Proposed criterion for the comparative evaluation. Ratings shown in this worksheet are dummy data for demonstrating calculations only.</t>
        </r>
      </text>
    </comment>
    <comment ref="Q4" authorId="0" shapeId="0" xr:uid="{00000000-0006-0000-0900-000024000000}">
      <text>
        <r>
          <rPr>
            <sz val="10"/>
            <rFont val="Arial"/>
            <family val="2"/>
          </rPr>
          <t>Proposed criterion for the comparative evaluation. Ratings shown in this worksheet are dummy data for demonstrating calculations only.</t>
        </r>
      </text>
    </comment>
    <comment ref="R4" authorId="0" shapeId="0" xr:uid="{00000000-0006-0000-0900-000025000000}">
      <text>
        <r>
          <rPr>
            <sz val="10"/>
            <rFont val="Arial"/>
            <family val="2"/>
          </rPr>
          <t>Proposed criterion for the comparative evaluation. Ratings shown in this worksheet are dummy data for demonstrating calculations only.</t>
        </r>
      </text>
    </comment>
    <comment ref="S4" authorId="0" shapeId="0" xr:uid="{00000000-0006-0000-0900-000026000000}">
      <text>
        <r>
          <rPr>
            <sz val="10"/>
            <rFont val="Arial"/>
            <family val="2"/>
          </rPr>
          <t>Proposed criterion for the comparative evaluation. Ratings shown in this worksheet are dummy data for demonstrating calculations only.</t>
        </r>
      </text>
    </comment>
    <comment ref="T4" authorId="0" shapeId="0" xr:uid="{00000000-0006-0000-0900-000027000000}">
      <text>
        <r>
          <rPr>
            <sz val="10"/>
            <rFont val="Arial"/>
            <family val="2"/>
          </rPr>
          <t>Proposed criterion for the comparative evaluation. Ratings shown in this worksheet are dummy data for demonstrating calculations only.</t>
        </r>
      </text>
    </comment>
    <comment ref="U4" authorId="0" shapeId="0" xr:uid="{00000000-0006-0000-0900-000028000000}">
      <text>
        <r>
          <rPr>
            <sz val="10"/>
            <rFont val="Arial"/>
            <family val="2"/>
          </rPr>
          <t>Proposed criterion for the comparative evaluation. Ratings shown in this worksheet are dummy data for demonstrating calculations only.</t>
        </r>
      </text>
    </comment>
    <comment ref="V4" authorId="0" shapeId="0" xr:uid="{00000000-0006-0000-0900-000029000000}">
      <text>
        <r>
          <rPr>
            <sz val="10"/>
            <rFont val="Arial"/>
            <family val="2"/>
          </rPr>
          <t>Proposed criterion for the comparative evaluation. Ratings shown in this worksheet are dummy data for demonstrating calculations only.</t>
        </r>
      </text>
    </comment>
    <comment ref="W4" authorId="0" shapeId="0" xr:uid="{00000000-0006-0000-0900-00002A000000}">
      <text>
        <r>
          <rPr>
            <sz val="10"/>
            <rFont val="Arial"/>
            <family val="2"/>
          </rPr>
          <t>Proposed criterion for the comparative evaluation. Ratings shown in this worksheet are dummy data for demonstrating calculations only.</t>
        </r>
      </text>
    </comment>
    <comment ref="X4" authorId="0" shapeId="0" xr:uid="{00000000-0006-0000-0900-00002B000000}">
      <text>
        <r>
          <rPr>
            <sz val="10"/>
            <rFont val="Arial"/>
            <family val="2"/>
          </rPr>
          <t>Proposed criterion for the comparative evaluation. Ratings shown in this worksheet are dummy data for demonstrating calculations only.</t>
        </r>
      </text>
    </comment>
    <comment ref="Y4" authorId="0" shapeId="0" xr:uid="{00000000-0006-0000-0900-00002C000000}">
      <text>
        <r>
          <rPr>
            <sz val="10"/>
            <rFont val="Arial"/>
            <family val="2"/>
          </rPr>
          <t>Proposed criterion for the comparative evaluation. Ratings shown in this worksheet are dummy data for demonstrating calculations only.</t>
        </r>
      </text>
    </comment>
    <comment ref="Z4" authorId="0" shapeId="0" xr:uid="{00000000-0006-0000-0900-00002D000000}">
      <text>
        <r>
          <rPr>
            <sz val="10"/>
            <rFont val="Arial"/>
            <family val="2"/>
          </rPr>
          <t>Proposed criterion for the comparative evaluation. Ratings shown in this worksheet are dummy data for demonstrating calculations only.</t>
        </r>
      </text>
    </comment>
    <comment ref="AA4" authorId="0" shapeId="0" xr:uid="{00000000-0006-0000-0900-00002E000000}">
      <text>
        <r>
          <rPr>
            <sz val="10"/>
            <rFont val="Arial"/>
            <family val="2"/>
          </rPr>
          <t>Proposed criterion for the comparative evaluation. Ratings shown in this worksheet are dummy data for demonstrating calculations only.</t>
        </r>
      </text>
    </comment>
    <comment ref="AB4" authorId="0" shapeId="0" xr:uid="{00000000-0006-0000-0900-00002F000000}">
      <text>
        <r>
          <rPr>
            <sz val="10"/>
            <rFont val="Arial"/>
            <family val="2"/>
          </rPr>
          <t>Proposed criterion for the comparative evaluation. Ratings shown in this worksheet are dummy data for demonstrating calculations only.</t>
        </r>
      </text>
    </comment>
    <comment ref="AC4" authorId="0" shapeId="0" xr:uid="{00000000-0006-0000-0900-000030000000}">
      <text>
        <r>
          <rPr>
            <sz val="10"/>
            <rFont val="Arial"/>
            <family val="2"/>
          </rPr>
          <t>Proposed criterion for the comparative evaluation. Ratings shown in this worksheet are dummy data for demonstrating calculations only.</t>
        </r>
      </text>
    </comment>
    <comment ref="AD4" authorId="0" shapeId="0" xr:uid="{00000000-0006-0000-0900-000031000000}">
      <text>
        <r>
          <rPr>
            <sz val="10"/>
            <rFont val="Arial"/>
            <family val="2"/>
          </rPr>
          <t>Proposed criterion for the comparative evaluation. Ratings shown in this worksheet are dummy data for demonstrating calculations only.</t>
        </r>
      </text>
    </comment>
    <comment ref="AE4" authorId="0" shapeId="0" xr:uid="{00000000-0006-0000-0900-000032000000}">
      <text>
        <r>
          <rPr>
            <sz val="10"/>
            <rFont val="Arial"/>
            <family val="2"/>
          </rPr>
          <t>Proposed criterion for the comparative evaluation. Ratings shown in this worksheet are dummy data for demonstrating calculations only.</t>
        </r>
      </text>
    </comment>
    <comment ref="AF4" authorId="0" shapeId="0" xr:uid="{00000000-0006-0000-0900-000033000000}">
      <text>
        <r>
          <rPr>
            <sz val="10"/>
            <rFont val="Arial"/>
            <family val="2"/>
          </rPr>
          <t>Proposed criterion for the comparative evaluation. Ratings shown in this worksheet are dummy data for demonstrating calculations only.</t>
        </r>
      </text>
    </comment>
    <comment ref="AG4" authorId="0" shapeId="0" xr:uid="{00000000-0006-0000-0900-000034000000}">
      <text>
        <r>
          <rPr>
            <sz val="10"/>
            <rFont val="Arial"/>
            <family val="2"/>
          </rPr>
          <t>Proposed criterion for the comparative evaluation. Ratings shown in this worksheet are dummy data for demonstrating calculations only.</t>
        </r>
      </text>
    </comment>
    <comment ref="AH4" authorId="0" shapeId="0" xr:uid="{00000000-0006-0000-0900-000035000000}">
      <text>
        <r>
          <rPr>
            <sz val="10"/>
            <rFont val="Arial"/>
            <family val="2"/>
          </rPr>
          <t>Proposed criterion for the comparative evaluation. Ratings shown in this worksheet are dummy data for demonstrating calculations only.</t>
        </r>
      </text>
    </comment>
    <comment ref="AI4" authorId="0" shapeId="0" xr:uid="{00000000-0006-0000-0900-000036000000}">
      <text>
        <r>
          <rPr>
            <sz val="10"/>
            <rFont val="Arial"/>
            <family val="2"/>
          </rPr>
          <t>Proposed criterion for the comparative evaluation. Ratings shown in this worksheet are dummy data for demonstrating calculations only.</t>
        </r>
      </text>
    </comment>
    <comment ref="AJ4" authorId="0" shapeId="0" xr:uid="{00000000-0006-0000-0900-000037000000}">
      <text>
        <r>
          <rPr>
            <sz val="10"/>
            <rFont val="Arial"/>
            <family val="2"/>
          </rPr>
          <t>Proposed criterion for the comparative evaluation. Ratings shown in this worksheet are dummy data for demonstrating calculations only.</t>
        </r>
      </text>
    </comment>
    <comment ref="AK4" authorId="0" shapeId="0" xr:uid="{00000000-0006-0000-0900-000038000000}">
      <text>
        <r>
          <rPr>
            <sz val="10"/>
            <rFont val="Arial"/>
            <family val="2"/>
          </rPr>
          <t>Proposed criterion for the comparative evaluation. Ratings shown in this worksheet are dummy data for demonstrating calculations only.</t>
        </r>
      </text>
    </comment>
    <comment ref="AL4" authorId="0" shapeId="0" xr:uid="{00000000-0006-0000-0900-000039000000}">
      <text>
        <r>
          <rPr>
            <sz val="10"/>
            <rFont val="Arial"/>
            <family val="2"/>
          </rPr>
          <t>Proposed criterion for the comparative evaluation. Ratings shown in this worksheet are dummy data for demonstrating calculations only.</t>
        </r>
      </text>
    </comment>
    <comment ref="AM4" authorId="0" shapeId="0" xr:uid="{00000000-0006-0000-0900-00003A000000}">
      <text>
        <r>
          <rPr>
            <sz val="10"/>
            <rFont val="Arial"/>
            <family val="2"/>
          </rPr>
          <t>Proposed criterion for the comparative evaluation. Ratings shown in this worksheet are dummy data for demonstrating calculations only.</t>
        </r>
      </text>
    </comment>
    <comment ref="AN4" authorId="0" shapeId="0" xr:uid="{00000000-0006-0000-0900-00003B000000}">
      <text>
        <r>
          <rPr>
            <sz val="10"/>
            <rFont val="Arial"/>
            <family val="2"/>
          </rPr>
          <t>Proposed criterion for the comparative evaluation. Ratings shown in this worksheet are dummy data for demonstrating calculations only.</t>
        </r>
      </text>
    </comment>
    <comment ref="AO4" authorId="0" shapeId="0" xr:uid="{00000000-0006-0000-0900-00003C000000}">
      <text>
        <r>
          <rPr>
            <sz val="10"/>
            <rFont val="Arial"/>
            <family val="2"/>
          </rPr>
          <t>Proposed criterion for the comparative evaluation. Ratings shown in this worksheet are dummy data for demonstrating calculations only.</t>
        </r>
      </text>
    </comment>
    <comment ref="A5" authorId="0" shapeId="0" xr:uid="{00000000-0006-0000-0900-000002000000}">
      <text>
        <r>
          <rPr>
            <sz val="10"/>
            <rFont val="Arial"/>
            <family val="2"/>
          </rPr>
          <t>Dummy respondent identifier; not a real participant.</t>
        </r>
      </text>
    </comment>
    <comment ref="A6" authorId="0" shapeId="0" xr:uid="{00000000-0006-0000-0900-000003000000}">
      <text>
        <r>
          <rPr>
            <sz val="10"/>
            <rFont val="Arial"/>
            <family val="2"/>
          </rPr>
          <t>Dummy respondent identifier; not a real participant.</t>
        </r>
      </text>
    </comment>
    <comment ref="A7" authorId="0" shapeId="0" xr:uid="{00000000-0006-0000-0900-000004000000}">
      <text>
        <r>
          <rPr>
            <sz val="10"/>
            <rFont val="Arial"/>
            <family val="2"/>
          </rPr>
          <t>Dummy respondent identifier; not a real participant.</t>
        </r>
      </text>
    </comment>
    <comment ref="A8" authorId="0" shapeId="0" xr:uid="{00000000-0006-0000-0900-000005000000}">
      <text>
        <r>
          <rPr>
            <sz val="10"/>
            <rFont val="Arial"/>
            <family val="2"/>
          </rPr>
          <t>Dummy respondent identifier; not a real participant.</t>
        </r>
      </text>
    </comment>
    <comment ref="A9" authorId="0" shapeId="0" xr:uid="{00000000-0006-0000-0900-000006000000}">
      <text>
        <r>
          <rPr>
            <sz val="10"/>
            <rFont val="Arial"/>
            <family val="2"/>
          </rPr>
          <t>Dummy respondent identifier; not a real participant.</t>
        </r>
      </text>
    </comment>
    <comment ref="A10" authorId="0" shapeId="0" xr:uid="{00000000-0006-0000-0900-000007000000}">
      <text>
        <r>
          <rPr>
            <sz val="10"/>
            <rFont val="Arial"/>
            <family val="2"/>
          </rPr>
          <t>Dummy respondent identifier; not a real participant.</t>
        </r>
      </text>
    </comment>
    <comment ref="A11" authorId="0" shapeId="0" xr:uid="{00000000-0006-0000-0900-000008000000}">
      <text>
        <r>
          <rPr>
            <sz val="10"/>
            <rFont val="Arial"/>
            <family val="2"/>
          </rPr>
          <t>Dummy respondent identifier; not a real participant.</t>
        </r>
      </text>
    </comment>
    <comment ref="A12" authorId="0" shapeId="0" xr:uid="{00000000-0006-0000-0900-000009000000}">
      <text>
        <r>
          <rPr>
            <sz val="10"/>
            <rFont val="Arial"/>
            <family val="2"/>
          </rPr>
          <t>Dummy respondent identifier; not a real participant.</t>
        </r>
      </text>
    </comment>
    <comment ref="A13" authorId="0" shapeId="0" xr:uid="{00000000-0006-0000-0900-00000A000000}">
      <text>
        <r>
          <rPr>
            <sz val="10"/>
            <rFont val="Arial"/>
            <family val="2"/>
          </rPr>
          <t>Dummy respondent identifier; not a real participant.</t>
        </r>
      </text>
    </comment>
    <comment ref="A14" authorId="0" shapeId="0" xr:uid="{00000000-0006-0000-0900-00000B000000}">
      <text>
        <r>
          <rPr>
            <sz val="10"/>
            <rFont val="Arial"/>
            <family val="2"/>
          </rPr>
          <t>Dummy respondent identifier; not a real participant.</t>
        </r>
      </text>
    </comment>
    <comment ref="A15" authorId="0" shapeId="0" xr:uid="{00000000-0006-0000-0900-00000C000000}">
      <text>
        <r>
          <rPr>
            <sz val="10"/>
            <rFont val="Arial"/>
            <family val="2"/>
          </rPr>
          <t>Dummy respondent identifier; not a real participant.</t>
        </r>
      </text>
    </comment>
    <comment ref="A16" authorId="0" shapeId="0" xr:uid="{00000000-0006-0000-0900-00000D000000}">
      <text>
        <r>
          <rPr>
            <sz val="10"/>
            <rFont val="Arial"/>
            <family val="2"/>
          </rPr>
          <t>Dummy respondent identifier; not a real participant.</t>
        </r>
      </text>
    </comment>
    <comment ref="A17" authorId="0" shapeId="0" xr:uid="{00000000-0006-0000-0900-00000E000000}">
      <text>
        <r>
          <rPr>
            <sz val="10"/>
            <rFont val="Arial"/>
            <family val="2"/>
          </rPr>
          <t>Dummy respondent identifier; not a real participant.</t>
        </r>
      </text>
    </comment>
    <comment ref="A18" authorId="0" shapeId="0" xr:uid="{00000000-0006-0000-0900-00000F000000}">
      <text>
        <r>
          <rPr>
            <sz val="10"/>
            <rFont val="Arial"/>
            <family val="2"/>
          </rPr>
          <t>Dummy respondent identifier; not a real participant.</t>
        </r>
      </text>
    </comment>
    <comment ref="A19" authorId="0" shapeId="0" xr:uid="{00000000-0006-0000-0900-000010000000}">
      <text>
        <r>
          <rPr>
            <sz val="10"/>
            <rFont val="Arial"/>
            <family val="2"/>
          </rPr>
          <t>Dummy respondent identifier; not a real participant.</t>
        </r>
      </text>
    </comment>
    <comment ref="A20" authorId="0" shapeId="0" xr:uid="{00000000-0006-0000-0900-000011000000}">
      <text>
        <r>
          <rPr>
            <sz val="10"/>
            <rFont val="Arial"/>
            <family val="2"/>
          </rPr>
          <t>Dummy respondent identifier; not a real participant.</t>
        </r>
      </text>
    </comment>
    <comment ref="A21" authorId="0" shapeId="0" xr:uid="{00000000-0006-0000-0900-000012000000}">
      <text>
        <r>
          <rPr>
            <sz val="10"/>
            <rFont val="Arial"/>
            <family val="2"/>
          </rPr>
          <t>Dummy respondent identifier; not a real participant.</t>
        </r>
      </text>
    </comment>
    <comment ref="A22" authorId="0" shapeId="0" xr:uid="{00000000-0006-0000-0900-000013000000}">
      <text>
        <r>
          <rPr>
            <sz val="10"/>
            <rFont val="Arial"/>
            <family val="2"/>
          </rPr>
          <t>Dummy respondent identifier; not a real participant.</t>
        </r>
      </text>
    </comment>
    <comment ref="A23" authorId="0" shapeId="0" xr:uid="{00000000-0006-0000-0900-000014000000}">
      <text>
        <r>
          <rPr>
            <sz val="10"/>
            <rFont val="Arial"/>
            <family val="2"/>
          </rPr>
          <t>Dummy respondent identifier; not a real participant.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F25" authorId="0" shapeId="0" xr:uid="{00000000-0006-0000-0A00-000005000000}">
      <text>
        <r>
          <rPr>
            <sz val="10"/>
            <rFont val="Arial"/>
            <family val="2"/>
          </rPr>
          <t>Excel-compatible formula for average rank: 1 + number of scores greater than this score + (number of tied scores − 1)/2. Rank 1 is highest; ties receive average ranks.</t>
        </r>
      </text>
    </comment>
    <comment ref="G25" authorId="0" shapeId="0" xr:uid="{00000000-0006-0000-0A00-000018000000}">
      <text>
        <r>
          <rPr>
            <sz val="10"/>
            <rFont val="Arial"/>
            <family val="2"/>
          </rPr>
          <t>Excel-compatible formula for average rank: 1 + number of scores greater than this score + (number of tied scores − 1)/2. Rank 1 is highest; ties receive average ranks.</t>
        </r>
      </text>
    </comment>
    <comment ref="H25" authorId="0" shapeId="0" xr:uid="{00000000-0006-0000-0A00-00002B000000}">
      <text>
        <r>
          <rPr>
            <sz val="10"/>
            <rFont val="Arial"/>
            <family val="2"/>
          </rPr>
          <t>Excel-compatible formula for average rank: 1 + number of scores greater than this score + (number of tied scores − 1)/2. Rank 1 is highest; ties receive average ranks.</t>
        </r>
      </text>
    </comment>
    <comment ref="I25" authorId="0" shapeId="0" xr:uid="{00000000-0006-0000-0A00-00003E000000}">
      <text>
        <r>
          <rPr>
            <sz val="10"/>
            <rFont val="Arial"/>
            <family val="2"/>
          </rPr>
          <t>Excel-compatible formula for average rank: 1 + number of scores greater than this score + (number of tied scores − 1)/2. Rank 1 is highest; ties receive average ranks.</t>
        </r>
      </text>
    </comment>
    <comment ref="F26" authorId="0" shapeId="0" xr:uid="{00000000-0006-0000-0A00-000006000000}">
      <text>
        <r>
          <rPr>
            <sz val="10"/>
            <rFont val="Arial"/>
            <family val="2"/>
          </rPr>
          <t>Excel-compatible formula for average rank: 1 + number of scores greater than this score + (number of tied scores − 1)/2. Rank 1 is highest; ties receive average ranks.</t>
        </r>
      </text>
    </comment>
    <comment ref="G26" authorId="0" shapeId="0" xr:uid="{00000000-0006-0000-0A00-000019000000}">
      <text>
        <r>
          <rPr>
            <sz val="10"/>
            <rFont val="Arial"/>
            <family val="2"/>
          </rPr>
          <t>Excel-compatible formula for average rank: 1 + number of scores greater than this score + (number of tied scores − 1)/2. Rank 1 is highest; ties receive average ranks.</t>
        </r>
      </text>
    </comment>
    <comment ref="H26" authorId="0" shapeId="0" xr:uid="{00000000-0006-0000-0A00-00002C000000}">
      <text>
        <r>
          <rPr>
            <sz val="10"/>
            <rFont val="Arial"/>
            <family val="2"/>
          </rPr>
          <t>Excel-compatible formula for average rank: 1 + number of scores greater than this score + (number of tied scores − 1)/2. Rank 1 is highest; ties receive average ranks.</t>
        </r>
      </text>
    </comment>
    <comment ref="I26" authorId="0" shapeId="0" xr:uid="{00000000-0006-0000-0A00-00003F000000}">
      <text>
        <r>
          <rPr>
            <sz val="10"/>
            <rFont val="Arial"/>
            <family val="2"/>
          </rPr>
          <t>Excel-compatible formula for average rank: 1 + number of scores greater than this score + (number of tied scores − 1)/2. Rank 1 is highest; ties receive average ranks.</t>
        </r>
      </text>
    </comment>
    <comment ref="F27" authorId="0" shapeId="0" xr:uid="{00000000-0006-0000-0A00-000007000000}">
      <text>
        <r>
          <rPr>
            <sz val="10"/>
            <rFont val="Arial"/>
            <family val="2"/>
          </rPr>
          <t>Excel-compatible formula for average rank: 1 + number of scores greater than this score + (number of tied scores − 1)/2. Rank 1 is highest; ties receive average ranks.</t>
        </r>
      </text>
    </comment>
    <comment ref="G27" authorId="0" shapeId="0" xr:uid="{00000000-0006-0000-0A00-00001A000000}">
      <text>
        <r>
          <rPr>
            <sz val="10"/>
            <rFont val="Arial"/>
            <family val="2"/>
          </rPr>
          <t>Excel-compatible formula for average rank: 1 + number of scores greater than this score + (number of tied scores − 1)/2. Rank 1 is highest; ties receive average ranks.</t>
        </r>
      </text>
    </comment>
    <comment ref="H27" authorId="0" shapeId="0" xr:uid="{00000000-0006-0000-0A00-00002D000000}">
      <text>
        <r>
          <rPr>
            <sz val="10"/>
            <rFont val="Arial"/>
            <family val="2"/>
          </rPr>
          <t>Excel-compatible formula for average rank: 1 + number of scores greater than this score + (number of tied scores − 1)/2. Rank 1 is highest; ties receive average ranks.</t>
        </r>
      </text>
    </comment>
    <comment ref="I27" authorId="0" shapeId="0" xr:uid="{00000000-0006-0000-0A00-000040000000}">
      <text>
        <r>
          <rPr>
            <sz val="10"/>
            <rFont val="Arial"/>
            <family val="2"/>
          </rPr>
          <t>Excel-compatible formula for average rank: 1 + number of scores greater than this score + (number of tied scores − 1)/2. Rank 1 is highest; ties receive average ranks.</t>
        </r>
      </text>
    </comment>
    <comment ref="F28" authorId="0" shapeId="0" xr:uid="{00000000-0006-0000-0A00-000008000000}">
      <text>
        <r>
          <rPr>
            <sz val="10"/>
            <rFont val="Arial"/>
            <family val="2"/>
          </rPr>
          <t>Excel-compatible formula for average rank: 1 + number of scores greater than this score + (number of tied scores − 1)/2. Rank 1 is highest; ties receive average ranks.</t>
        </r>
      </text>
    </comment>
    <comment ref="G28" authorId="0" shapeId="0" xr:uid="{00000000-0006-0000-0A00-00001B000000}">
      <text>
        <r>
          <rPr>
            <sz val="10"/>
            <rFont val="Arial"/>
            <family val="2"/>
          </rPr>
          <t>Excel-compatible formula for average rank: 1 + number of scores greater than this score + (number of tied scores − 1)/2. Rank 1 is highest; ties receive average ranks.</t>
        </r>
      </text>
    </comment>
    <comment ref="H28" authorId="0" shapeId="0" xr:uid="{00000000-0006-0000-0A00-00002E000000}">
      <text>
        <r>
          <rPr>
            <sz val="10"/>
            <rFont val="Arial"/>
            <family val="2"/>
          </rPr>
          <t>Excel-compatible formula for average rank: 1 + number of scores greater than this score + (number of tied scores − 1)/2. Rank 1 is highest; ties receive average ranks.</t>
        </r>
      </text>
    </comment>
    <comment ref="I28" authorId="0" shapeId="0" xr:uid="{00000000-0006-0000-0A00-000041000000}">
      <text>
        <r>
          <rPr>
            <sz val="10"/>
            <rFont val="Arial"/>
            <family val="2"/>
          </rPr>
          <t>Excel-compatible formula for average rank: 1 + number of scores greater than this score + (number of tied scores − 1)/2. Rank 1 is highest; ties receive average ranks.</t>
        </r>
      </text>
    </comment>
    <comment ref="F29" authorId="0" shapeId="0" xr:uid="{00000000-0006-0000-0A00-000009000000}">
      <text>
        <r>
          <rPr>
            <sz val="10"/>
            <rFont val="Arial"/>
            <family val="2"/>
          </rPr>
          <t>Excel-compatible formula for average rank: 1 + number of scores greater than this score + (number of tied scores − 1)/2. Rank 1 is highest; ties receive average ranks.</t>
        </r>
      </text>
    </comment>
    <comment ref="G29" authorId="0" shapeId="0" xr:uid="{00000000-0006-0000-0A00-00001C000000}">
      <text>
        <r>
          <rPr>
            <sz val="10"/>
            <rFont val="Arial"/>
            <family val="2"/>
          </rPr>
          <t>Excel-compatible formula for average rank: 1 + number of scores greater than this score + (number of tied scores − 1)/2. Rank 1 is highest; ties receive average ranks.</t>
        </r>
      </text>
    </comment>
    <comment ref="H29" authorId="0" shapeId="0" xr:uid="{00000000-0006-0000-0A00-00002F000000}">
      <text>
        <r>
          <rPr>
            <sz val="10"/>
            <rFont val="Arial"/>
            <family val="2"/>
          </rPr>
          <t>Excel-compatible formula for average rank: 1 + number of scores greater than this score + (number of tied scores − 1)/2. Rank 1 is highest; ties receive average ranks.</t>
        </r>
      </text>
    </comment>
    <comment ref="I29" authorId="0" shapeId="0" xr:uid="{00000000-0006-0000-0A00-000042000000}">
      <text>
        <r>
          <rPr>
            <sz val="10"/>
            <rFont val="Arial"/>
            <family val="2"/>
          </rPr>
          <t>Excel-compatible formula for average rank: 1 + number of scores greater than this score + (number of tied scores − 1)/2. Rank 1 is highest; ties receive average ranks.</t>
        </r>
      </text>
    </comment>
    <comment ref="F30" authorId="0" shapeId="0" xr:uid="{00000000-0006-0000-0A00-00000A000000}">
      <text>
        <r>
          <rPr>
            <sz val="10"/>
            <rFont val="Arial"/>
            <family val="2"/>
          </rPr>
          <t>Excel-compatible formula for average rank: 1 + number of scores greater than this score + (number of tied scores − 1)/2. Rank 1 is highest; ties receive average ranks.</t>
        </r>
      </text>
    </comment>
    <comment ref="G30" authorId="0" shapeId="0" xr:uid="{00000000-0006-0000-0A00-00001D000000}">
      <text>
        <r>
          <rPr>
            <sz val="10"/>
            <rFont val="Arial"/>
            <family val="2"/>
          </rPr>
          <t>Excel-compatible formula for average rank: 1 + number of scores greater than this score + (number of tied scores − 1)/2. Rank 1 is highest; ties receive average ranks.</t>
        </r>
      </text>
    </comment>
    <comment ref="H30" authorId="0" shapeId="0" xr:uid="{00000000-0006-0000-0A00-000030000000}">
      <text>
        <r>
          <rPr>
            <sz val="10"/>
            <rFont val="Arial"/>
            <family val="2"/>
          </rPr>
          <t>Excel-compatible formula for average rank: 1 + number of scores greater than this score + (number of tied scores − 1)/2. Rank 1 is highest; ties receive average ranks.</t>
        </r>
      </text>
    </comment>
    <comment ref="I30" authorId="0" shapeId="0" xr:uid="{00000000-0006-0000-0A00-000043000000}">
      <text>
        <r>
          <rPr>
            <sz val="10"/>
            <rFont val="Arial"/>
            <family val="2"/>
          </rPr>
          <t>Excel-compatible formula for average rank: 1 + number of scores greater than this score + (number of tied scores − 1)/2. Rank 1 is highest; ties receive average ranks.</t>
        </r>
      </text>
    </comment>
    <comment ref="F31" authorId="0" shapeId="0" xr:uid="{00000000-0006-0000-0A00-00000B000000}">
      <text>
        <r>
          <rPr>
            <sz val="10"/>
            <rFont val="Arial"/>
            <family val="2"/>
          </rPr>
          <t>Excel-compatible formula for average rank: 1 + number of scores greater than this score + (number of tied scores − 1)/2. Rank 1 is highest; ties receive average ranks.</t>
        </r>
      </text>
    </comment>
    <comment ref="G31" authorId="0" shapeId="0" xr:uid="{00000000-0006-0000-0A00-00001E000000}">
      <text>
        <r>
          <rPr>
            <sz val="10"/>
            <rFont val="Arial"/>
            <family val="2"/>
          </rPr>
          <t>Excel-compatible formula for average rank: 1 + number of scores greater than this score + (number of tied scores − 1)/2. Rank 1 is highest; ties receive average ranks.</t>
        </r>
      </text>
    </comment>
    <comment ref="H31" authorId="0" shapeId="0" xr:uid="{00000000-0006-0000-0A00-000031000000}">
      <text>
        <r>
          <rPr>
            <sz val="10"/>
            <rFont val="Arial"/>
            <family val="2"/>
          </rPr>
          <t>Excel-compatible formula for average rank: 1 + number of scores greater than this score + (number of tied scores − 1)/2. Rank 1 is highest; ties receive average ranks.</t>
        </r>
      </text>
    </comment>
    <comment ref="I31" authorId="0" shapeId="0" xr:uid="{00000000-0006-0000-0A00-000044000000}">
      <text>
        <r>
          <rPr>
            <sz val="10"/>
            <rFont val="Arial"/>
            <family val="2"/>
          </rPr>
          <t>Excel-compatible formula for average rank: 1 + number of scores greater than this score + (number of tied scores − 1)/2. Rank 1 is highest; ties receive average ranks.</t>
        </r>
      </text>
    </comment>
    <comment ref="F32" authorId="0" shapeId="0" xr:uid="{00000000-0006-0000-0A00-00000C000000}">
      <text>
        <r>
          <rPr>
            <sz val="10"/>
            <rFont val="Arial"/>
            <family val="2"/>
          </rPr>
          <t>Excel-compatible formula for average rank: 1 + number of scores greater than this score + (number of tied scores − 1)/2. Rank 1 is highest; ties receive average ranks.</t>
        </r>
      </text>
    </comment>
    <comment ref="G32" authorId="0" shapeId="0" xr:uid="{00000000-0006-0000-0A00-00001F000000}">
      <text>
        <r>
          <rPr>
            <sz val="10"/>
            <rFont val="Arial"/>
            <family val="2"/>
          </rPr>
          <t>Excel-compatible formula for average rank: 1 + number of scores greater than this score + (number of tied scores − 1)/2. Rank 1 is highest; ties receive average ranks.</t>
        </r>
      </text>
    </comment>
    <comment ref="H32" authorId="0" shapeId="0" xr:uid="{00000000-0006-0000-0A00-000032000000}">
      <text>
        <r>
          <rPr>
            <sz val="10"/>
            <rFont val="Arial"/>
            <family val="2"/>
          </rPr>
          <t>Excel-compatible formula for average rank: 1 + number of scores greater than this score + (number of tied scores − 1)/2. Rank 1 is highest; ties receive average ranks.</t>
        </r>
      </text>
    </comment>
    <comment ref="I32" authorId="0" shapeId="0" xr:uid="{00000000-0006-0000-0A00-000045000000}">
      <text>
        <r>
          <rPr>
            <sz val="10"/>
            <rFont val="Arial"/>
            <family val="2"/>
          </rPr>
          <t>Excel-compatible formula for average rank: 1 + number of scores greater than this score + (number of tied scores − 1)/2. Rank 1 is highest; ties receive average ranks.</t>
        </r>
      </text>
    </comment>
    <comment ref="F33" authorId="0" shapeId="0" xr:uid="{00000000-0006-0000-0A00-00000D000000}">
      <text>
        <r>
          <rPr>
            <sz val="10"/>
            <rFont val="Arial"/>
            <family val="2"/>
          </rPr>
          <t>Excel-compatible formula for average rank: 1 + number of scores greater than this score + (number of tied scores − 1)/2. Rank 1 is highest; ties receive average ranks.</t>
        </r>
      </text>
    </comment>
    <comment ref="G33" authorId="0" shapeId="0" xr:uid="{00000000-0006-0000-0A00-000020000000}">
      <text>
        <r>
          <rPr>
            <sz val="10"/>
            <rFont val="Arial"/>
            <family val="2"/>
          </rPr>
          <t>Excel-compatible formula for average rank: 1 + number of scores greater than this score + (number of tied scores − 1)/2. Rank 1 is highest; ties receive average ranks.</t>
        </r>
      </text>
    </comment>
    <comment ref="H33" authorId="0" shapeId="0" xr:uid="{00000000-0006-0000-0A00-000033000000}">
      <text>
        <r>
          <rPr>
            <sz val="10"/>
            <rFont val="Arial"/>
            <family val="2"/>
          </rPr>
          <t>Excel-compatible formula for average rank: 1 + number of scores greater than this score + (number of tied scores − 1)/2. Rank 1 is highest; ties receive average ranks.</t>
        </r>
      </text>
    </comment>
    <comment ref="I33" authorId="0" shapeId="0" xr:uid="{00000000-0006-0000-0A00-000046000000}">
      <text>
        <r>
          <rPr>
            <sz val="10"/>
            <rFont val="Arial"/>
            <family val="2"/>
          </rPr>
          <t>Excel-compatible formula for average rank: 1 + number of scores greater than this score + (number of tied scores − 1)/2. Rank 1 is highest; ties receive average ranks.</t>
        </r>
      </text>
    </comment>
    <comment ref="F34" authorId="0" shapeId="0" xr:uid="{00000000-0006-0000-0A00-00000E000000}">
      <text>
        <r>
          <rPr>
            <sz val="10"/>
            <rFont val="Arial"/>
            <family val="2"/>
          </rPr>
          <t>Excel-compatible formula for average rank: 1 + number of scores greater than this score + (number of tied scores − 1)/2. Rank 1 is highest; ties receive average ranks.</t>
        </r>
      </text>
    </comment>
    <comment ref="G34" authorId="0" shapeId="0" xr:uid="{00000000-0006-0000-0A00-000021000000}">
      <text>
        <r>
          <rPr>
            <sz val="10"/>
            <rFont val="Arial"/>
            <family val="2"/>
          </rPr>
          <t>Excel-compatible formula for average rank: 1 + number of scores greater than this score + (number of tied scores − 1)/2. Rank 1 is highest; ties receive average ranks.</t>
        </r>
      </text>
    </comment>
    <comment ref="H34" authorId="0" shapeId="0" xr:uid="{00000000-0006-0000-0A00-000034000000}">
      <text>
        <r>
          <rPr>
            <sz val="10"/>
            <rFont val="Arial"/>
            <family val="2"/>
          </rPr>
          <t>Excel-compatible formula for average rank: 1 + number of scores greater than this score + (number of tied scores − 1)/2. Rank 1 is highest; ties receive average ranks.</t>
        </r>
      </text>
    </comment>
    <comment ref="I34" authorId="0" shapeId="0" xr:uid="{00000000-0006-0000-0A00-000047000000}">
      <text>
        <r>
          <rPr>
            <sz val="10"/>
            <rFont val="Arial"/>
            <family val="2"/>
          </rPr>
          <t>Excel-compatible formula for average rank: 1 + number of scores greater than this score + (number of tied scores − 1)/2. Rank 1 is highest; ties receive average ranks.</t>
        </r>
      </text>
    </comment>
    <comment ref="F35" authorId="0" shapeId="0" xr:uid="{00000000-0006-0000-0A00-00000F000000}">
      <text>
        <r>
          <rPr>
            <sz val="10"/>
            <rFont val="Arial"/>
            <family val="2"/>
          </rPr>
          <t>Excel-compatible formula for average rank: 1 + number of scores greater than this score + (number of tied scores − 1)/2. Rank 1 is highest; ties receive average ranks.</t>
        </r>
      </text>
    </comment>
    <comment ref="G35" authorId="0" shapeId="0" xr:uid="{00000000-0006-0000-0A00-000022000000}">
      <text>
        <r>
          <rPr>
            <sz val="10"/>
            <rFont val="Arial"/>
            <family val="2"/>
          </rPr>
          <t>Excel-compatible formula for average rank: 1 + number of scores greater than this score + (number of tied scores − 1)/2. Rank 1 is highest; ties receive average ranks.</t>
        </r>
      </text>
    </comment>
    <comment ref="H35" authorId="0" shapeId="0" xr:uid="{00000000-0006-0000-0A00-000035000000}">
      <text>
        <r>
          <rPr>
            <sz val="10"/>
            <rFont val="Arial"/>
            <family val="2"/>
          </rPr>
          <t>Excel-compatible formula for average rank: 1 + number of scores greater than this score + (number of tied scores − 1)/2. Rank 1 is highest; ties receive average ranks.</t>
        </r>
      </text>
    </comment>
    <comment ref="I35" authorId="0" shapeId="0" xr:uid="{00000000-0006-0000-0A00-000048000000}">
      <text>
        <r>
          <rPr>
            <sz val="10"/>
            <rFont val="Arial"/>
            <family val="2"/>
          </rPr>
          <t>Excel-compatible formula for average rank: 1 + number of scores greater than this score + (number of tied scores − 1)/2. Rank 1 is highest; ties receive average ranks.</t>
        </r>
      </text>
    </comment>
    <comment ref="F36" authorId="0" shapeId="0" xr:uid="{00000000-0006-0000-0A00-000010000000}">
      <text>
        <r>
          <rPr>
            <sz val="10"/>
            <rFont val="Arial"/>
            <family val="2"/>
          </rPr>
          <t>Excel-compatible formula for average rank: 1 + number of scores greater than this score + (number of tied scores − 1)/2. Rank 1 is highest; ties receive average ranks.</t>
        </r>
      </text>
    </comment>
    <comment ref="G36" authorId="0" shapeId="0" xr:uid="{00000000-0006-0000-0A00-000023000000}">
      <text>
        <r>
          <rPr>
            <sz val="10"/>
            <rFont val="Arial"/>
            <family val="2"/>
          </rPr>
          <t>Excel-compatible formula for average rank: 1 + number of scores greater than this score + (number of tied scores − 1)/2. Rank 1 is highest; ties receive average ranks.</t>
        </r>
      </text>
    </comment>
    <comment ref="H36" authorId="0" shapeId="0" xr:uid="{00000000-0006-0000-0A00-000036000000}">
      <text>
        <r>
          <rPr>
            <sz val="10"/>
            <rFont val="Arial"/>
            <family val="2"/>
          </rPr>
          <t>Excel-compatible formula for average rank: 1 + number of scores greater than this score + (number of tied scores − 1)/2. Rank 1 is highest; ties receive average ranks.</t>
        </r>
      </text>
    </comment>
    <comment ref="I36" authorId="0" shapeId="0" xr:uid="{00000000-0006-0000-0A00-000049000000}">
      <text>
        <r>
          <rPr>
            <sz val="10"/>
            <rFont val="Arial"/>
            <family val="2"/>
          </rPr>
          <t>Excel-compatible formula for average rank: 1 + number of scores greater than this score + (number of tied scores − 1)/2. Rank 1 is highest; ties receive average ranks.</t>
        </r>
      </text>
    </comment>
    <comment ref="F37" authorId="0" shapeId="0" xr:uid="{00000000-0006-0000-0A00-000011000000}">
      <text>
        <r>
          <rPr>
            <sz val="10"/>
            <rFont val="Arial"/>
            <family val="2"/>
          </rPr>
          <t>Excel-compatible formula for average rank: 1 + number of scores greater than this score + (number of tied scores − 1)/2. Rank 1 is highest; ties receive average ranks.</t>
        </r>
      </text>
    </comment>
    <comment ref="G37" authorId="0" shapeId="0" xr:uid="{00000000-0006-0000-0A00-000024000000}">
      <text>
        <r>
          <rPr>
            <sz val="10"/>
            <rFont val="Arial"/>
            <family val="2"/>
          </rPr>
          <t>Excel-compatible formula for average rank: 1 + number of scores greater than this score + (number of tied scores − 1)/2. Rank 1 is highest; ties receive average ranks.</t>
        </r>
      </text>
    </comment>
    <comment ref="H37" authorId="0" shapeId="0" xr:uid="{00000000-0006-0000-0A00-000037000000}">
      <text>
        <r>
          <rPr>
            <sz val="10"/>
            <rFont val="Arial"/>
            <family val="2"/>
          </rPr>
          <t>Excel-compatible formula for average rank: 1 + number of scores greater than this score + (number of tied scores − 1)/2. Rank 1 is highest; ties receive average ranks.</t>
        </r>
      </text>
    </comment>
    <comment ref="I37" authorId="0" shapeId="0" xr:uid="{00000000-0006-0000-0A00-00004A000000}">
      <text>
        <r>
          <rPr>
            <sz val="10"/>
            <rFont val="Arial"/>
            <family val="2"/>
          </rPr>
          <t>Excel-compatible formula for average rank: 1 + number of scores greater than this score + (number of tied scores − 1)/2. Rank 1 is highest; ties receive average ranks.</t>
        </r>
      </text>
    </comment>
    <comment ref="F38" authorId="0" shapeId="0" xr:uid="{00000000-0006-0000-0A00-000012000000}">
      <text>
        <r>
          <rPr>
            <sz val="10"/>
            <rFont val="Arial"/>
            <family val="2"/>
          </rPr>
          <t>Excel-compatible formula for average rank: 1 + number of scores greater than this score + (number of tied scores − 1)/2. Rank 1 is highest; ties receive average ranks.</t>
        </r>
      </text>
    </comment>
    <comment ref="G38" authorId="0" shapeId="0" xr:uid="{00000000-0006-0000-0A00-000025000000}">
      <text>
        <r>
          <rPr>
            <sz val="10"/>
            <rFont val="Arial"/>
            <family val="2"/>
          </rPr>
          <t>Excel-compatible formula for average rank: 1 + number of scores greater than this score + (number of tied scores − 1)/2. Rank 1 is highest; ties receive average ranks.</t>
        </r>
      </text>
    </comment>
    <comment ref="H38" authorId="0" shapeId="0" xr:uid="{00000000-0006-0000-0A00-000038000000}">
      <text>
        <r>
          <rPr>
            <sz val="10"/>
            <rFont val="Arial"/>
            <family val="2"/>
          </rPr>
          <t>Excel-compatible formula for average rank: 1 + number of scores greater than this score + (number of tied scores − 1)/2. Rank 1 is highest; ties receive average ranks.</t>
        </r>
      </text>
    </comment>
    <comment ref="I38" authorId="0" shapeId="0" xr:uid="{00000000-0006-0000-0A00-00004B000000}">
      <text>
        <r>
          <rPr>
            <sz val="10"/>
            <rFont val="Arial"/>
            <family val="2"/>
          </rPr>
          <t>Excel-compatible formula for average rank: 1 + number of scores greater than this score + (number of tied scores − 1)/2. Rank 1 is highest; ties receive average ranks.</t>
        </r>
      </text>
    </comment>
    <comment ref="F39" authorId="0" shapeId="0" xr:uid="{00000000-0006-0000-0A00-000013000000}">
      <text>
        <r>
          <rPr>
            <sz val="10"/>
            <rFont val="Arial"/>
            <family val="2"/>
          </rPr>
          <t>Excel-compatible formula for average rank: 1 + number of scores greater than this score + (number of tied scores − 1)/2. Rank 1 is highest; ties receive average ranks.</t>
        </r>
      </text>
    </comment>
    <comment ref="G39" authorId="0" shapeId="0" xr:uid="{00000000-0006-0000-0A00-000026000000}">
      <text>
        <r>
          <rPr>
            <sz val="10"/>
            <rFont val="Arial"/>
            <family val="2"/>
          </rPr>
          <t>Excel-compatible formula for average rank: 1 + number of scores greater than this score + (number of tied scores − 1)/2. Rank 1 is highest; ties receive average ranks.</t>
        </r>
      </text>
    </comment>
    <comment ref="H39" authorId="0" shapeId="0" xr:uid="{00000000-0006-0000-0A00-000039000000}">
      <text>
        <r>
          <rPr>
            <sz val="10"/>
            <rFont val="Arial"/>
            <family val="2"/>
          </rPr>
          <t>Excel-compatible formula for average rank: 1 + number of scores greater than this score + (number of tied scores − 1)/2. Rank 1 is highest; ties receive average ranks.</t>
        </r>
      </text>
    </comment>
    <comment ref="I39" authorId="0" shapeId="0" xr:uid="{00000000-0006-0000-0A00-00004C000000}">
      <text>
        <r>
          <rPr>
            <sz val="10"/>
            <rFont val="Arial"/>
            <family val="2"/>
          </rPr>
          <t>Excel-compatible formula for average rank: 1 + number of scores greater than this score + (number of tied scores − 1)/2. Rank 1 is highest; ties receive average ranks.</t>
        </r>
      </text>
    </comment>
    <comment ref="F40" authorId="0" shapeId="0" xr:uid="{00000000-0006-0000-0A00-000014000000}">
      <text>
        <r>
          <rPr>
            <sz val="10"/>
            <rFont val="Arial"/>
            <family val="2"/>
          </rPr>
          <t>Excel-compatible formula for average rank: 1 + number of scores greater than this score + (number of tied scores − 1)/2. Rank 1 is highest; ties receive average ranks.</t>
        </r>
      </text>
    </comment>
    <comment ref="G40" authorId="0" shapeId="0" xr:uid="{00000000-0006-0000-0A00-000027000000}">
      <text>
        <r>
          <rPr>
            <sz val="10"/>
            <rFont val="Arial"/>
            <family val="2"/>
          </rPr>
          <t>Excel-compatible formula for average rank: 1 + number of scores greater than this score + (number of tied scores − 1)/2. Rank 1 is highest; ties receive average ranks.</t>
        </r>
      </text>
    </comment>
    <comment ref="H40" authorId="0" shapeId="0" xr:uid="{00000000-0006-0000-0A00-00003A000000}">
      <text>
        <r>
          <rPr>
            <sz val="10"/>
            <rFont val="Arial"/>
            <family val="2"/>
          </rPr>
          <t>Excel-compatible formula for average rank: 1 + number of scores greater than this score + (number of tied scores − 1)/2. Rank 1 is highest; ties receive average ranks.</t>
        </r>
      </text>
    </comment>
    <comment ref="I40" authorId="0" shapeId="0" xr:uid="{00000000-0006-0000-0A00-00004D000000}">
      <text>
        <r>
          <rPr>
            <sz val="10"/>
            <rFont val="Arial"/>
            <family val="2"/>
          </rPr>
          <t>Excel-compatible formula for average rank: 1 + number of scores greater than this score + (number of tied scores − 1)/2. Rank 1 is highest; ties receive average ranks.</t>
        </r>
      </text>
    </comment>
    <comment ref="F41" authorId="0" shapeId="0" xr:uid="{00000000-0006-0000-0A00-000015000000}">
      <text>
        <r>
          <rPr>
            <sz val="10"/>
            <rFont val="Arial"/>
            <family val="2"/>
          </rPr>
          <t>Excel-compatible formula for average rank: 1 + number of scores greater than this score + (number of tied scores − 1)/2. Rank 1 is highest; ties receive average ranks.</t>
        </r>
      </text>
    </comment>
    <comment ref="G41" authorId="0" shapeId="0" xr:uid="{00000000-0006-0000-0A00-000028000000}">
      <text>
        <r>
          <rPr>
            <sz val="10"/>
            <rFont val="Arial"/>
            <family val="2"/>
          </rPr>
          <t>Excel-compatible formula for average rank: 1 + number of scores greater than this score + (number of tied scores − 1)/2. Rank 1 is highest; ties receive average ranks.</t>
        </r>
      </text>
    </comment>
    <comment ref="H41" authorId="0" shapeId="0" xr:uid="{00000000-0006-0000-0A00-00003B000000}">
      <text>
        <r>
          <rPr>
            <sz val="10"/>
            <rFont val="Arial"/>
            <family val="2"/>
          </rPr>
          <t>Excel-compatible formula for average rank: 1 + number of scores greater than this score + (number of tied scores − 1)/2. Rank 1 is highest; ties receive average ranks.</t>
        </r>
      </text>
    </comment>
    <comment ref="I41" authorId="0" shapeId="0" xr:uid="{00000000-0006-0000-0A00-00004E000000}">
      <text>
        <r>
          <rPr>
            <sz val="10"/>
            <rFont val="Arial"/>
            <family val="2"/>
          </rPr>
          <t>Excel-compatible formula for average rank: 1 + number of scores greater than this score + (number of tied scores − 1)/2. Rank 1 is highest; ties receive average ranks.</t>
        </r>
      </text>
    </comment>
    <comment ref="F42" authorId="0" shapeId="0" xr:uid="{00000000-0006-0000-0A00-000016000000}">
      <text>
        <r>
          <rPr>
            <sz val="10"/>
            <rFont val="Arial"/>
            <family val="2"/>
          </rPr>
          <t>Excel-compatible formula for average rank: 1 + number of scores greater than this score + (number of tied scores − 1)/2. Rank 1 is highest; ties receive average ranks.</t>
        </r>
      </text>
    </comment>
    <comment ref="G42" authorId="0" shapeId="0" xr:uid="{00000000-0006-0000-0A00-000029000000}">
      <text>
        <r>
          <rPr>
            <sz val="10"/>
            <rFont val="Arial"/>
            <family val="2"/>
          </rPr>
          <t>Excel-compatible formula for average rank: 1 + number of scores greater than this score + (number of tied scores − 1)/2. Rank 1 is highest; ties receive average ranks.</t>
        </r>
      </text>
    </comment>
    <comment ref="H42" authorId="0" shapeId="0" xr:uid="{00000000-0006-0000-0A00-00003C000000}">
      <text>
        <r>
          <rPr>
            <sz val="10"/>
            <rFont val="Arial"/>
            <family val="2"/>
          </rPr>
          <t>Excel-compatible formula for average rank: 1 + number of scores greater than this score + (number of tied scores − 1)/2. Rank 1 is highest; ties receive average ranks.</t>
        </r>
      </text>
    </comment>
    <comment ref="I42" authorId="0" shapeId="0" xr:uid="{00000000-0006-0000-0A00-00004F000000}">
      <text>
        <r>
          <rPr>
            <sz val="10"/>
            <rFont val="Arial"/>
            <family val="2"/>
          </rPr>
          <t>Excel-compatible formula for average rank: 1 + number of scores greater than this score + (number of tied scores − 1)/2. Rank 1 is highest; ties receive average ranks.</t>
        </r>
      </text>
    </comment>
    <comment ref="F43" authorId="0" shapeId="0" xr:uid="{00000000-0006-0000-0A00-000017000000}">
      <text>
        <r>
          <rPr>
            <sz val="10"/>
            <rFont val="Arial"/>
            <family val="2"/>
          </rPr>
          <t>Excel-compatible formula for average rank: 1 + number of scores greater than this score + (number of tied scores − 1)/2. Rank 1 is highest; ties receive average ranks.</t>
        </r>
      </text>
    </comment>
    <comment ref="G43" authorId="0" shapeId="0" xr:uid="{00000000-0006-0000-0A00-00002A000000}">
      <text>
        <r>
          <rPr>
            <sz val="10"/>
            <rFont val="Arial"/>
            <family val="2"/>
          </rPr>
          <t>Excel-compatible formula for average rank: 1 + number of scores greater than this score + (number of tied scores − 1)/2. Rank 1 is highest; ties receive average ranks.</t>
        </r>
      </text>
    </comment>
    <comment ref="H43" authorId="0" shapeId="0" xr:uid="{00000000-0006-0000-0A00-00003D000000}">
      <text>
        <r>
          <rPr>
            <sz val="10"/>
            <rFont val="Arial"/>
            <family val="2"/>
          </rPr>
          <t>Excel-compatible formula for average rank: 1 + number of scores greater than this score + (number of tied scores − 1)/2. Rank 1 is highest; ties receive average ranks.</t>
        </r>
      </text>
    </comment>
    <comment ref="I43" authorId="0" shapeId="0" xr:uid="{00000000-0006-0000-0A00-000050000000}">
      <text>
        <r>
          <rPr>
            <sz val="10"/>
            <rFont val="Arial"/>
            <family val="2"/>
          </rPr>
          <t>Excel-compatible formula for average rank: 1 + number of scores greater than this score + (number of tied scores − 1)/2. Rank 1 is highest; ties receive average ranks.</t>
        </r>
      </text>
    </comment>
  </commentList>
</comments>
</file>

<file path=xl/sharedStrings.xml><?xml version="1.0" encoding="utf-8"?>
<sst xmlns="http://schemas.openxmlformats.org/spreadsheetml/2006/main" count="891" uniqueCount="661">
  <si>
    <t>A.   Kejelasan Konsep Framework        </t>
  </si>
  <si>
    <t>Bagian B: Kelengkapan Komponen Framework</t>
  </si>
  <si>
    <t>C.  Kesesuaian Integrasi Framework</t>
  </si>
  <si>
    <t>D.   Relevansi Indikator</t>
  </si>
  <si>
    <t>E.  Keterpaduan Alur Proses</t>
  </si>
  <si>
    <t>F.  Potensi Penerapan Organisasi</t>
  </si>
  <si>
    <t>G.   Kejelasan Output Framework</t>
  </si>
  <si>
    <t>Timestamp</t>
  </si>
  <si>
    <t>1. Nama Lengkap</t>
  </si>
  <si>
    <t>Jenis Kelamin</t>
  </si>
  <si>
    <t>2. Pekerjaan Saat ini :</t>
  </si>
  <si>
    <t>3. Jenis Bidang Industri (berdasarkan KLBI)</t>
  </si>
  <si>
    <t>5.  No Kontak (Opsional) 
kebutuhan pengiriman Ovo bila terpilih secara acak [08xxx]</t>
  </si>
  <si>
    <t>6. Bidang Keahlian</t>
  </si>
  <si>
    <t>6.A Keahlian Utama</t>
  </si>
  <si>
    <t xml:space="preserve">7. Pengalaman Profesional dibidang IT </t>
  </si>
  <si>
    <t>8. Pengalaman dengan Framework</t>
  </si>
  <si>
    <t>1.   Konsep framework perencanaan strategis TI terintegrasi yang dikembangkan dalam penelitian ini mudah dipahami.
Jenis Pertanyaan: Linear scale (1–5) 
Skala: 1 = Sangat Tidak Setuju  5 = Sangat Setuju</t>
  </si>
  <si>
    <t>2.    Tujuan utama framework ini dijelaskan secara jelas dan sesuai dengan kebutuhan perencanaan strategis TI.
Jenis Pertanyaan: Linear scale (1–5) 
Skala: 1 = Sangat Tidak Setuju  5 = Sangat Setuju</t>
  </si>
  <si>
    <t>3.   Ruang lingkup framework ini sudah tergambar dengan jelas, mencakup strategi SI/TI, enterprise architecture, tata kelola TI, risiko, dan pengukuran kinerja.
Jenis Pertanyaan: Linear scale (1–5) 
Skala: 1 = Sangat Tidak Setuju  5 = Sangat Setuju</t>
  </si>
  <si>
    <t>4.   Hubungan antara masalah penelitian dan solusi framework yang dikembangkan sudah terlihat jelas.
Jenis Pertanyaan: Linear scale (1–5) 
Skala: 1 = Sangat Tidak Setuju  5 = Sangat Setuju</t>
  </si>
  <si>
    <t>5.   Framework ini memiliki dasar pemikiran yang logis dalam mengintegrasikan Ward and Peppard, TOGAF, dan COBIT 2019.
Jenis Pertanyaan: Linear scale (1–5) 
Skala: 1 = Sangat Tidak Setuju  5 = Sangat Setuju</t>
  </si>
  <si>
    <t>1.   Komponen analisis strategis SI/TI dalam framework ini sudah memadai untuk mengidentifikasi kebutuhan organisasi
Jenis Pertanyaan: Linear scale (1–5) 
Skala: 1 = Sangat Tidak Setuju  5 = Sangat Setuju</t>
  </si>
  <si>
    <t>2.    Komponen portofolio aplikasi dalam framework ini sudah memadai untuk menentukan prioritas aplikasi masa depan.  
Jenis Pertanyaan: Linear scale (1–5) 
Skala: 1 = Sangat Tidak Setuju  5 = Sangat Setuju</t>
  </si>
  <si>
    <t>3.   Komponen enterprise architecture dalam framework ini sudah mencakup arsitektur bisnis, data, aplikasi, dan teknologi.
Jenis Pertanyaan: Linear scale (1–5) 
Skala: 1 = Sangat Tidak Setuju  5 = Sangat Setuju</t>
  </si>
  <si>
    <t>4.   Komponen tata kelola TI, capability assessment, risk control, dan performance measurement sudah tercakup dengan baik dalam framework ini.
Jenis Pertanyaan: Linear scale (1–5) 
Skala: 1 = Sangat Tidak Setuju  5 = Sangat Setuju</t>
  </si>
  <si>
    <t>5. Secara keseluruhan, komponen framework ini sudah lengkap untuk mendukung penyusunan IT Master Plan dan roadmap transformasi digital.
Jenis Pertanyaan: Linear scale (1–5) 
Skala: 1 = Sangat Tidak Setuju  5 = Sangat Setuju</t>
  </si>
  <si>
    <t>1.   Integrasi Ward and Peppard, TOGAF, dan COBIT 2019 dalam framework ini sudah sesuai dengan karakteristik masing-masing framework.
Jenis Pertanyaan: Linear scale (1–5) 
Skala: 1 = Sangat Tidak Setuju  5 = Sangat Setuju</t>
  </si>
  <si>
    <t>2.    Ward and Peppard sudah ditempatkan secara tepat sebagai dasar analisis dan formulasi strategi SI/TI.
Jenis Pertanyaan: Linear scale (1–5) 
Skala: 1 = Sangat Tidak Setuju  5 = Sangat Setuju</t>
  </si>
  <si>
    <t>3.   TOGAF sudah ditempatkan secara tepat sebagai dasar penyusunan enterprise architecture.
Jenis Pertanyaan: Linear scale (1–5) 
Skala: 1 = Sangat Tidak Setuju  5 = Sangat Setuju</t>
  </si>
  <si>
    <t>4.   COBIT 2019 sudah ditempatkan secara tepat sebagai dasar tata kelola, capability assessment, risiko, kontrol, dan pengukuran kinerja TI.
Jenis Pertanyaan: Linear scale (1–5) 
Skala: 1 = Sangat Tidak Setuju  5 = Sangat Setuju</t>
  </si>
  <si>
    <t>5.   Integrasi ketiga framework dalam model ini saling melengkapi dan tidak menimbulkan tumpang tindih fungsi yang berlebihan.
Jenis Pertanyaan: Linear scale (1–5) 
Skala: 1 = Sangat Tidak Setuju  5 = Sangat Setuju</t>
  </si>
  <si>
    <t>1.  Indikator strategic alignment relevan untuk menilai keselarasan antara tujuan organisasi dan strategi TI.
Jenis Pertanyaan: Linear scale (1–5) 
Skala: 1 = Sangat Tidak Setuju  5 = Sangat Setuju</t>
  </si>
  <si>
    <t>2.   Indikator IS/IT portfolio planning relevan untuk menilai prioritas aplikasi dan kebutuhan sistem informasi organisasi.
Jenis Pertanyaan: Linear scale (1–5) 
Skala: 1 = Sangat Tidak Setuju  5 = Sangat Setuju</t>
  </si>
  <si>
    <t>3.   Indikator enterprise architecture blueprint relevan untuk menilai kelengkapan rancangan arsitektur bisnis, data, aplikasi, dan teknologi.
Jenis Pertanyaan: Linear scale (1–5) 
Skala: 1 = Sangat Tidak Setuju  5 = Sangat Setuju</t>
  </si>
  <si>
    <t>4.   Indikator governance objective mapping, capability assessment, risk control, dan performance measurement relevan untuk menilai tata kelola dan kesiapan TI.
Jenis Pertanyaan: Linear scale (1–5) 
Skala: 1 = Sangat Tidak Setuju  5 = Sangat Setuju</t>
  </si>
  <si>
    <t>5.   Secara keseluruhan, indikator dalam framework ini sudah sesuai untuk menilai kelayakan framework perencanaan strategis TI terintegrasi.
Jenis Pertanyaan: Linear scale (1–5) 
Skala: 1 = Sangat Tidak Setuju  5 = Sangat Setuju</t>
  </si>
  <si>
    <t>1.  Alur framework dimulai dari analisis kebutuhan organisasi secara sistematis dan mudah diikuti.
Jenis Pertanyaan: Linear scale (1–5) 
Skala: 1 = Sangat Tidak Setuju  5 = Sangat Setuju</t>
  </si>
  <si>
    <t>2.  Alur framework mampu menghubungkan analisis kebutuhan organisasi dengan formulasi strategi SI/TI.
Jenis Pertanyaan: Linear scale (1–5) 
Skala: 1 = Sangat Tidak Setuju  5 = Sangat Setuju</t>
  </si>
  <si>
    <t>3.  Alur framework mampu menghubungkan strategi SI/TI dengan penyusunan portofolio aplikasi dan enterprise architecture.
Jenis Pertanyaan: Linear scale (1–5) 
Skala: 1 = Sangat Tidak Setuju  5 = Sangat Setuju</t>
  </si>
  <si>
    <t>4.  Alur framework mampu menghubungkan enterprise architecture dengan tata kelola TI, capability assessment, risk control, dan KPI.
Jenis Pertanyaan: Linear scale (1–5) 
Skala: 1 = Sangat Tidak Setuju  5 = Sangat Setuju</t>
  </si>
  <si>
    <t>5. Setiap tahapan framework memiliki hubungan input, proses, dan output yang jelas.
Jenis Pertanyaan: Linear scale (1–5) 
Skala: 1 = Sangat Tidak Setuju  5 = Sangat Setuju</t>
  </si>
  <si>
    <t>1.  Framework ini berpotensi diterapkan pada organisasi yang membutuhkan perencanaan strategis TI.
Jenis Pertanyaan: Linear scale (1–5) 
Skala: 1 = Sangat Tidak Setuju  5 = Sangat Setuju</t>
  </si>
  <si>
    <t>2.  Framework ini dapat digunakan untuk mendukung penyusunan IT Master Plan organisasi.
Jenis Pertanyaan: Linear scale (1–5) 
Skala: 1 = Sangat Tidak Setuju  5 = Sangat Setuju</t>
  </si>
  <si>
    <t>3.  Framework ini dapat digunakan untuk mendukung penyusunan roadmap transformasi digital dan blueprint enterprise architecture.
Jenis Pertanyaan: Linear scale (1–5) 
Skala: 1 = Sangat Tidak Setuju  5 = Sangat Setuju</t>
  </si>
  <si>
    <t>4.  Framework ini dapat membantu organisasi menentukan prioritas program, proyek, dan investasi TI.
Jenis Pertanyaan: Linear scale (1–5) 
Skala: 1 = Sangat Tidak Setuju  5 = Sangat Setuju</t>
  </si>
  <si>
    <t>5.  Framework ini cukup praktis untuk digunakan oleh tim perencana TI, manajemen TI, auditor TI, atau konsultan TI.
Jenis Pertanyaan: Linear scale (1–5) 
Skala: 1 = Sangat Tidak Setuju  5 = Sangat Setuju</t>
  </si>
  <si>
    <t>1.  Output berupa strategi SI/TI dalam framework ini sudah jelas dan mudah dipahami.
Jenis Pertanyaan: Linear scale (1–5) 
Skala: 1 = Sangat Tidak Setuju  5 = Sangat Setuju</t>
  </si>
  <si>
    <t>2.  Output berupa portofolio aplikasi dan prioritas aplikasi sudah jelas untuk mendukung kebutuhan organisasi.
Jenis Pertanyaan: Linear scale (1–5) 
Skala: 1 = Sangat Tidak Setuju  5 = Sangat Setuju</t>
  </si>
  <si>
    <t>3.  Output berupa blueprint enterprise architecture sudah jelas dan mencakup arsitektur bisnis, data, aplikasi, dan teknologi.
Jenis Pertanyaan: Linear scale (1–5) 
Skala: 1 = Sangat Tidak Setuju  5 = Sangat Setuju</t>
  </si>
  <si>
    <t>4.  Output berupa governance objectives, capability level, risk register, control mapping, dan KPI sudah jelas untuk mendukung tata kelola TI.
Jenis Pertanyaan: Linear scale (1–5) 
Skala: 1 = Sangat Tidak Setuju  5 = Sangat Setuju</t>
  </si>
  <si>
    <t>5.  Secara keseluruhan, output framework ini dapat digunakan sebagai dasar penyusunan dokumen perencanaan strategis TI organisasi.
Jenis Pertanyaan: Linear scale (1–5) 
Skala: 1 = Sangat Tidak Setuju  5 = Sangat Setuju</t>
  </si>
  <si>
    <t xml:space="preserve">1.  Apakah menurut Anda model Integrasi Perencanaan Strategis TI sudah menggambarkan hubungan logis antara strategi, arsitektur, dan tata kelola TI? </t>
  </si>
  <si>
    <t xml:space="preserve">2.  Komponen mana yang menurut Anda perlu diperbaiki atau disempurnakan? </t>
  </si>
  <si>
    <t xml:space="preserve">3.  Apakah framework ini dapat diterapkan di konteks organisasi Anda? Mengapa? </t>
  </si>
  <si>
    <t xml:space="preserve">4.  Saran tambahan untuk pengembangan model Integrasi Perencanaan Strategis TI di masa mendatang: </t>
  </si>
  <si>
    <t xml:space="preserve">Filter 1 (Rekomendasi sebagai Praktisi &amp; Akademisi)  terkait Perencanaan strategis TI </t>
  </si>
  <si>
    <t>Fiilter ke 2 , berdasarkan perencanaan strategis TI</t>
  </si>
  <si>
    <t>Rata-2 Faktor A</t>
  </si>
  <si>
    <t>Rata-2 Faktor B</t>
  </si>
  <si>
    <t>Rata-2 Faktor C</t>
  </si>
  <si>
    <t>Rata-2 Faktor D</t>
  </si>
  <si>
    <t>Rata-2 Faktor E</t>
  </si>
  <si>
    <t>Rata-2 Faktor F</t>
  </si>
  <si>
    <t>Rata-2 Faktor G</t>
  </si>
  <si>
    <t>Kategori Relevan  Faktor A</t>
  </si>
  <si>
    <t>Kategori Relevan  Faktor B</t>
  </si>
  <si>
    <t>Kategori Relevan  Faktor C</t>
  </si>
  <si>
    <t>Kategori Relevan  Faktor D</t>
  </si>
  <si>
    <t>Kategori Relevan  Faktor E</t>
  </si>
  <si>
    <t>Kategori Relevan  Faktor F</t>
  </si>
  <si>
    <t>Kategori Relevan  Faktor G</t>
  </si>
  <si>
    <t>COBIT 2019</t>
  </si>
  <si>
    <t xml:space="preserve">Expert 1 </t>
  </si>
  <si>
    <t>Pria</t>
  </si>
  <si>
    <t>Akademisi (Guru, Dosen), Konsultan IT, Praktisi IT</t>
  </si>
  <si>
    <t>10.Informasi dan Komunikasi</t>
  </si>
  <si>
    <t>Tata Kelola TI/ IT Governance, Arsitektur Enterprise, Perencanaan Strategis TI, Audit &amp; Manajemen TI, Pengembang Aplikasi</t>
  </si>
  <si>
    <t>Pakar tata kelola TI atau COBIT</t>
  </si>
  <si>
    <t>&gt; 20 Tahun</t>
  </si>
  <si>
    <t>TOGAF, COBIT, ITIL</t>
  </si>
  <si>
    <t>Ya, model Integrasi Perencanaan Strategis TI sudah menunjukkan hubungan logis karena strategi menetapkan arah, arsitektur menerjemahkannya menjadi desain kapabilitas, dan tata kelola memastikan pelaksanaan serta pengendaliannya berjalan selaras dan terukur, sebagaimana selaras dengan prinsip dalam COBIT 2019 dan TOGAF.</t>
  </si>
  <si>
    <t>Komponen yang perlu disempurnakan adalah keterlacakan antara strategi, arsitektur, dan tata kelola, serta penguatan mekanisme pengukuran kinerja dan umpan balik agar evaluasi benar-benar mendorong perbaikan strategis, bukan sekadar formalitas laporan.</t>
  </si>
  <si>
    <t>Ya, framework ini dapat diterapkan karena membantu menyelaraskan strategi, arsitektur, dan tata kelola TI secara terstruktur serta dapat diadaptasi dengan praktik seperti COBIT 2019 dan ITIL 4 untuk meningkatkan kematangan organisasi secara bertahap.</t>
  </si>
  <si>
    <t>Ke depan, model Integrasi Perencanaan Strategis TI perlu dikembangkan dengan menambahkan mekanisme keterlacakan end-to-end dari tujuan strategis hingga indikator kinerja operasional, memperkuat integrasi manajemen risiko dan kepatuhan sejak tahap perancangan arsitektur, serta memasukkan pendekatan adaptif berbasis data dan evaluasi berkelanjutan agar model lebih responsif terhadap perubahan bisnis dan teknologi.</t>
  </si>
  <si>
    <t>Andi Rukmana</t>
  </si>
  <si>
    <t>Other :</t>
  </si>
  <si>
    <t>15. Administrasi Pemerintahan, Pertahanan, dan Jaminan Sosial Wajib,</t>
  </si>
  <si>
    <t>089531825682</t>
  </si>
  <si>
    <t xml:space="preserve">Perencanaan Strategis TI, Audit &amp; Manajemen TI, Infrastructure IT, Cybersecurity, </t>
  </si>
  <si>
    <t>&lt; 5 Tahun</t>
  </si>
  <si>
    <t>COBIT</t>
  </si>
  <si>
    <t>a, model sudah menggambarkan hubungan yang logis dan sistematis.
Strategi TI diturunkan dari strategi bisnis (layer perencanaan), kemudian diterjemahkan ke dalam desain arsitektur TI sebagai blueprint implementasi, dan akhirnya dikontrol serta dimonitor melalui tata kelola dan pengukuran kinerja TI. Alur ini menunjukkan keterkaitan yang konsisten antara perencanaan, implementasi, dan evaluasi.
Namun, kejelasan mekanisme integrasi antar-layer masih perlu dipertegas dalam bentuk alur proses atau model visual yang lebih operasional.</t>
  </si>
  <si>
    <t>Beberapa komponen yang dapat disempurnakan:
Mekanisme transisi dari strategi ke arsitektur (agar tidak hanya konseptual tetapi operasional)
Penjelasan peran dan tanggung jawab (governance structure)
Integrasi manajemen perubahan (change management)
Indikator pengukuran keberhasilan integrasi framework
Penambahan contoh studi kasus atau template implementasi juga akan meningkatkan kejelasan praktis.</t>
  </si>
  <si>
    <t>Framework ini dapat diterapkan, terutama pada organisasi dengan tingkat kematangan TI menengah hingga tinggi.
Karena framework mengintegrasikan strategi, arsitektur, dan tata kelola, ia cocok untuk organisasi yang membutuhkan alignment dan kontrol TI yang kuat.
Namun, untuk organisasi dengan sumber daya terbatas, implementasi perlu dilakukan secara bertahap (phased approach) agar tidak membebani struktur organisasi.</t>
  </si>
  <si>
    <t>Beberapa saran pengembangan:
Menyederhanakan model agar lebih mudah diadopsi organisasi skala kecil–menengah
Menambahkan panduan implementasi bertahap (roadmap integrasi framework)
Mengembangkan alat ukur kesiapan organisasi (IT maturity assessment)
Menguji model pada berbagai sektor industri untuk validasi empiris</t>
  </si>
  <si>
    <t>Winny Purbaratri</t>
  </si>
  <si>
    <t>Wanita</t>
  </si>
  <si>
    <t>Akademisi (Guru, Dosen)</t>
  </si>
  <si>
    <t>16.Pendidikan</t>
  </si>
  <si>
    <t>081219203209</t>
  </si>
  <si>
    <t>Tata Kelola TI/ IT Governance, Pengembang Aplikasi</t>
  </si>
  <si>
    <t>16-20 Tahun</t>
  </si>
  <si>
    <t>COBIT, SPBE</t>
  </si>
  <si>
    <t>Ya, secara konseptual sudah logis. Strategi bisnis diturunkan ke strategi TI, diterjemahkan dalam arsitektur, lalu dikontrol melalui tata kelola. Ini sejalan dengan praktik seperti COBIT yang menekankan alignment dan value delivery. Namun, model perlu memastikan ada mekanisme evaluasi dan feedback.</t>
  </si>
  <si>
    <t>Integrasi manajemen risiko dan budaya digital</t>
  </si>
  <si>
    <t>Bisa, terutama di organisasi besar atau sektor yang regulatif. Namun perlu disesuaikan dengan skala dan budaya organisasi agar tidak terlalu birokratis.</t>
  </si>
  <si>
    <t>Integrasi data &amp; AI governance , Agile governance dan memasukkan aspek sustainability TI.
Intinya, modelnya sudah baik, tetapi perlu lebih adaptif, terukur, dan relevan dengan dinamika transformasi digital.</t>
  </si>
  <si>
    <t>Expert 2</t>
  </si>
  <si>
    <t>Akademisi (Guru, Dosen), Praktisi IT</t>
  </si>
  <si>
    <t>Tata Kelola TI/ IT Governance, Audit &amp; Manajemen TI, Cybersecurity</t>
  </si>
  <si>
    <t>11-15 Tahun</t>
  </si>
  <si>
    <t>Secara konseptual: YA, sangat logis, karena:
Strategi → menentukan arah
Arsitektur → menerjemahkan arah menjadi desain
Tata kelola → mengawasi agar desain dijalankan dengan benar
Hubungan ini bersifat:
Top-down (alignment strategis)
Bottom-up (feedback operasional)
Continuous improvement</t>
  </si>
  <si>
    <t>1️⃣ Penyelarasan Strategi Bisnis dan Strategi TI
🔎 Masalah Umum:
Strategi TI dibuat setelah strategi bisnis selesai, bukan sebagai bagian integral.
Tidak ada cascading objective yang terukur.
🔧 Perlu Disempurnakan:
Mapping eksplisit antara business objective dan IT objective.
Gunakan pendekatan seperti:
Balanced Scorecard
Strategy Map
Alignment model dari Michael Porter (value chain thinking)
Tanpa alignment yang jelas, arsitektur dan governance akan kehilangan arah.
2️⃣ Enterprise Architecture sebagai Jembatan Strategi
Sering kali arsitektur hanya menjadi dokumentasi teknis.
🔎 Masalah:
Tidak berbasis capability
Tidak terhubung dengan portfolio investasi
Tidak digunakan dalam decision making
🔧 Perlu Disempurnakan:
Gunakan capability-based planning
Integrasikan arsitektur dengan roadmap transformasi
Terapkan prinsip dari The Open Group melalui TOGAF yang menekankan Architecture Vision dan Governance
Arsitektur harus menjadi decision framework, bukan sekadar blueprint.
3️⃣ Tata Kelola TI (IT Governance)
🔎 Masalah:
Governance terlalu fokus compliance
Tidak terhubung dengan value realization
Tidak ada pengukuran benefit
Framework seperti ISACA melalui COBIT sebenarnya sudah menekankan:
Value delivery
Risk optimization
Resource optimization
🔧 Perlu Disempurnakan:
Perjelas decision rights (RACI)
Integrasikan risk appetite ke perencanaan
Buat KPI governance yang terhubung ke outcome bisnis
4️⃣ Mekanisme Feedback Loop (Yang Paling Sering Hilang)
Ini komponen yang paling sering kurang matang.
Model integrasi yang baik harus memiliki:
Monitoring kinerja
Review arsitektur berkala
Audit berbasis risiko
Continuous improvement
Tanpa feedback loop, model hanya berjalan satu arah (top-down), padahal lingkungan TI sangat dinamis.
5️⃣ Manajemen Risiko dan Cybersecurity Integration
Banyak model memisahkan risk management dari perencanaan strategis.
Padahal:
Risk appetite memengaruhi arsitektur
Security requirement memengaruhi desain teknologi
Compliance memengaruhi governance structure
Integrasi dengan risk-based approach sangat penting agar model menjadi resilien.</t>
  </si>
  <si>
    <t>1️⃣ Karakter Organisasi Digital Membutuhkan Alignment Tinggi
Organisasi berbasis teknologi memiliki:
Ketergantungan tinggi pada infrastruktur TI
Siklus inovasi cepat
Risiko keamanan dan privasi tinggi
Kebutuhan scalability
Karena itu, hubungan antara:
Strategi → Arsitektur → Tata Kelola
menjadi krusial untuk menjaga konsistensi arah dan kontrol.
Framework seperti COBIT dari ISACA relevan karena menekankan value delivery dan risk optimization.
2️⃣ Enterprise Architecture sebagai Enabler Transformasi
Dalam organisasi teknologi, perubahan produk dan platform sangat cepat.
Tanpa arsitektur yang terstruktur (misalnya pendekatan dari The Open Group melalui TOGAF):
Sistem menjadi silo
Integrasi mahal
Technical debt meningkat
Karena itu, arsitektur menjadi jembatan strategis yang wajib ada.
3️⃣ Governance untuk Menjaga Kecepatan dan Kontrol
Organisasi digital sering menghadapi dilema:
Speed vs Control
Framework integrasi memungkinkan:
Inovasi tetap cepat
Risiko tetap terkelola
Investasi tetap terarah
Tanpa governance yang jelas, transformasi digital justru bisa meningkatkan eksposur risiko.
4️⃣ Namun Perlu Adaptasi
Framework ini tidak bisa diterapkan secara “textbook”.
Penyesuaian yang biasanya diperlukan:
Lebih agile (iterative planning)
Integrasi DevSecOps
Decision-making lebih desentralistik
Continuous performance monitoring
Model tradisional yang terlalu birokratis justru akan memperlambat organisasi digital.</t>
  </si>
  <si>
    <t>1️⃣ Integrasi Agile &amp; Adaptive Strategy
Model ke depan tidak bisa lagi bersifat linear (5-year static plan).
Perlu ditambahkan:
Rolling strategy (review kuartalan)
Dynamic portfolio management
Scenario planning
Pendekatan seperti emergent strategy dari Henry Mintzberg dapat melengkapi pendekatan perencanaan formal yang terlalu rigid.
2️⃣ Capability-Based &amp; Value-Driven Planning
Model perlu bergeser dari:
“Perencanaan proyek TI”
Menjadi:
“Pengembangan kapabilitas bisnis berbasis digital”
Pendekatan Enterprise Architecture dari The Open Group melalui TOGAF bisa diperkuat dengan:
Business capability mapping
Value stream mapping
Benefit realization tracking
Fokus bukan pada sistem, tetapi pada outcome bisnis.
3️⃣ Embedded Risk &amp; Cyber Resilience
Ke depan, risiko bukan sekadar komponen tambahan.
Model perlu:
Integrasi risk appetite dalam strategy cascade
Cyber resilience by design
Continuous control monitoring
Framework seperti ISACA melalui COBIT sudah mengarah ke risk optimization, tetapi perlu dipadukan dengan pendekatan resilience dan threat intelligence modern.
4️⃣ Integrasi Data Governance &amp; AI Governance
Transformasi digital saat ini berbasis data dan AI.
Model masa depan perlu memasukkan:
Data ownership clarity
Data quality accountability
AI ethics &amp; governance layer
Responsible AI framework
Tanpa ini, strategi TI tidak akan relevan dalam era AI-driven organization.
5️⃣ Sustainability &amp; Green IT Dimension
Ke depan, strategi TI harus mempertimbangkan:
Energy efficiency
Carbon footprint IT infrastructure
Sustainable cloud strategy
Integrasi ESG (Environmental, Social, Governance) ke dalam model perencanaan strategis TI akan menjadi keharusan.
6️⃣ Real-Time Performance &amp; Feedback Loop
Model klasik sering berhenti di tahap perencanaan dan governance formal.
Pengembangan ke depan perlu:
Real-time KPI dashboard
Strategy-to-execution traceability
Continuous architecture review
Digital twin untuk enterprise model
Sehingga hubungan Strategi → Arsitektur → Governance menjadi siklus dinamis, bukan struktur statis.</t>
  </si>
  <si>
    <t>Nurasiah</t>
  </si>
  <si>
    <t>+62 856-9795-6928</t>
  </si>
  <si>
    <t>Perencanaan Strategis TI</t>
  </si>
  <si>
    <t>5-10 Tahun</t>
  </si>
  <si>
    <t>sudah sangat menggambarkan hubungan yang logis</t>
  </si>
  <si>
    <t>Komponen Manajemen Risiko dan Keamanan Informasi</t>
  </si>
  <si>
    <t xml:space="preserve">bisa diterapkan </t>
  </si>
  <si>
    <t>Integrasi dengan Kerangka Kerja Tata Kelola TI Global karena Integrasi ini dapat memperkuat aspek tata kelola, manajemen layanan TI, serta keselarasan arsitektur enterprise dengan strategi organisasi melakukan Pendekatan Berbasis Agile dan Adaptive Strategy</t>
  </si>
  <si>
    <t>Agun Guntara</t>
  </si>
  <si>
    <t>08987922009</t>
  </si>
  <si>
    <t>Arsitektur Enterprise, Perencanaan Strategis TI</t>
  </si>
  <si>
    <t>TOGAF</t>
  </si>
  <si>
    <t>model ini memenuhi kaidah "The Golden Thread" dalam manajemen TI, Model ini berhasil menjembatani gap antara niat strategis pimpinan organisasi dengan realitas teknis di lapangan, sehingga TI tidak lagi menjadi "pulau terpencil", melainkan bagian integral dari pencapaian tujuan organisasi.</t>
  </si>
  <si>
    <t>model integrasi ini sudah sangat kuat secara teoretis, namun ada dua area krusial yang perlu disempurnakan agar lebih adaptif dengan realitas industri saat ini:
1. Integrasi Agilitas (Agile &amp; DevOps)
2. Penekanan pada Data-Driven Governance
3. Aspek Manusia dan Budaya (Change Management)</t>
  </si>
  <si>
    <t>Dalam konteks perguruan tinggi, framework integrasi ini sangat relevan dan layak diterapkan karena institusi pendidikan merupakan ekosistem yang kompleks dengan beragam kepentingan.</t>
  </si>
  <si>
    <t>Saya melihat model Anda sudah memiliki fondasi yang sangat kokoh. Namun, untuk menghadapi lanskap digital 2026 dan seterusnya, berikut adalah tiga saran pengembangan strategis agar model tersebut tetap relevan:
1. Adopsi "Continuous Planning" (Agile Architecture):
2. Integrasi Pilar Artificial Intelligence Governance (AIG):
3. Penyelarasan dengan Keberlanjutan (Green IT):</t>
  </si>
  <si>
    <t>Andri Firmansyah</t>
  </si>
  <si>
    <t>0818731617</t>
  </si>
  <si>
    <t>Tata Kelola TI/ IT Governance, Perencanaan Strategis TI, Audit &amp; Manajemen TI, Infrastructure IT</t>
  </si>
  <si>
    <t>COBIT, ITIL</t>
  </si>
  <si>
    <t>Sudah</t>
  </si>
  <si>
    <t>Sudah lengkap</t>
  </si>
  <si>
    <t>Dapat, karena komponen di framework sudah dapat mengakomodasi bisnis pendidikan</t>
  </si>
  <si>
    <t>saat ini belum.</t>
  </si>
  <si>
    <t>Nurkholis</t>
  </si>
  <si>
    <t>Konsultan IT</t>
  </si>
  <si>
    <t>19.Aktivitas Jasa Lainnya</t>
  </si>
  <si>
    <t>08123352506</t>
  </si>
  <si>
    <t>Pengembang Aplikasi</t>
  </si>
  <si>
    <t>SPBE</t>
  </si>
  <si>
    <t>Sudah terintegrasi semua</t>
  </si>
  <si>
    <t>Iya, karena ini muaranya ke perbaikan tata kelola dan kinerja organisai</t>
  </si>
  <si>
    <t>Studi kasus pada UMKM dan perusahaan kecll</t>
  </si>
  <si>
    <t>Christian</t>
  </si>
  <si>
    <t>Tata Kelola TI/ IT Governance</t>
  </si>
  <si>
    <t>COBIT, ITIL, SPBE</t>
  </si>
  <si>
    <t>Ya , asalkan dijelaskan secara lengkap</t>
  </si>
  <si>
    <t xml:space="preserve">Arsitektur, harus dapat mudah dibaca </t>
  </si>
  <si>
    <t>Tidak, organisasi saya terlalu kecil</t>
  </si>
  <si>
    <t>diberikan template, guide dan contoh</t>
  </si>
  <si>
    <t>Expert 3</t>
  </si>
  <si>
    <t>Tata Kelola TI/ IT Governance, Arsitektur Enterprise, Perencanaan Strategis TI, Audit &amp; Manajemen TI</t>
  </si>
  <si>
    <t>Pakar perencanaan strategis TI</t>
  </si>
  <si>
    <t>TOGAF, Ward &amp; Peppard, COBIT, ITIL, SPBE</t>
  </si>
  <si>
    <t>Dapat diterapkan, karena tingkat flexibilitasnya</t>
  </si>
  <si>
    <t>Mungkin perlu dibandingkan juga dengan beberapa framework perencanaan strategis stau EA lainnya (cth. Anita Cassidy dll)</t>
  </si>
  <si>
    <t>Expert 4</t>
  </si>
  <si>
    <t>Konsultan IT, Praktisi IT</t>
  </si>
  <si>
    <t>10.Informasi dan Komunikasi, 13.Aktivitas Profesional, Ilmiah, dan Teknis, 19.Aktivitas Jasa Lainnya</t>
  </si>
  <si>
    <t>Arsitektur Enterprise, Audit &amp; Manajemen TI, Pengembang Aplikasi, Infrastructure IT, Cybersecurity</t>
  </si>
  <si>
    <t>TOGAF, COBIT, ITIL, SPBE</t>
  </si>
  <si>
    <t>Cukup terintegrasi dengan baik</t>
  </si>
  <si>
    <t>Tata Kelola dan Bisnis Proses</t>
  </si>
  <si>
    <t>Iya , karena bisnis berbasis dengan keptuhan kerja pada struktur organisasi dan standar operasional prosedur pelayanan</t>
  </si>
  <si>
    <t>Integrasi harus lebih luas mencakup semua aspek organisasi baik internal maupun external, hal ini terkait pertumbuhan dari beberapa teknologi IT semakin banyak dan mempunyai varian yang berbeda beda.</t>
  </si>
  <si>
    <t>Expert 5</t>
  </si>
  <si>
    <t>13.Aktivitas Profesional, Ilmiah, dan Teknis, 16.Pendidikan</t>
  </si>
  <si>
    <t>Arsitektur Enterprise, Audit &amp; Manajemen TI, Pengembang Aplikasi, Cybersecurity, Keamanan Sistem Informasi</t>
  </si>
  <si>
    <t>Pakar enterprise architecture</t>
  </si>
  <si>
    <t>TOGAF, COBIT, SPBE</t>
  </si>
  <si>
    <t>Menurut saya sudah.</t>
  </si>
  <si>
    <t xml:space="preserve">Integrasinya perlu dilakukan pengujian dan implementasi lebih lanjut. </t>
  </si>
  <si>
    <t>Dapat. Karena framework ini mengintegrasikan framework (Ward &amp; Prepart, Togaf dan Cobit 2019) yang sudah umum dan sudah menjadi standar framework yang selama ini telah diimplementasikan.</t>
  </si>
  <si>
    <t>Saran tambahan dari saya, lebih ke arah implementasi di beberapa industri, agar dapat dilihat dan dapat dianalisa kesenjangan yang ada sehingga dari sini dapat dilakukan penyempurnaan framework.</t>
  </si>
  <si>
    <t>Expert 6</t>
  </si>
  <si>
    <t>Tata Kelola TI/ IT Governance, Arsitektur Enterprise, Perencanaan Strategis TI, Pengembang Aplikasi, Infrastructure IT, Cybersecurity, IT Managed Services</t>
  </si>
  <si>
    <t>TOGAF, COBIT, ITIL, ITSM, NIST, ISO 27001</t>
  </si>
  <si>
    <t>Iya</t>
  </si>
  <si>
    <t>Tata Kelola</t>
  </si>
  <si>
    <t>Belum bisa karena bisnis model berbeda</t>
  </si>
  <si>
    <t xml:space="preserve">Di support oleh tools dan AI yang terintegrasi </t>
  </si>
  <si>
    <t>Expert 7</t>
  </si>
  <si>
    <t>Praktisi IT</t>
  </si>
  <si>
    <t>10.Informasi dan Komunikasi, 11.Aktivitas Keuangan dan Asuransi,</t>
  </si>
  <si>
    <t>Tata Kelola TI/ IT Governance, Arsitektur Enterprise, Perencanaan Strategis TI, Pengembang Aplikasi, Infrastructure IT, Cybersecurity</t>
  </si>
  <si>
    <t>Praktisi TI atau manajer TI</t>
  </si>
  <si>
    <t>Expert 8</t>
  </si>
  <si>
    <t>21.Aktivitas Badan Internasional dan Badan Ekstra Internasional</t>
  </si>
  <si>
    <t>Tata Kelola TI/ IT Governance, Arsitektur Enterprise, Perencanaan Strategis TI, Audit &amp; Manajemen TI, Pengembang Aplikasi, Infrastructure IT</t>
  </si>
  <si>
    <t>TOGAF, COBIT, ITIL, SPBE, Zachman Framework, Moscow Framework, dll</t>
  </si>
  <si>
    <t>Sudah, walaupun masih ada komponen lain yang berhubungan dengan visi dan misi sebuah institusi</t>
  </si>
  <si>
    <t>Yang perlu di sempurnakan dalam penerapan strategi dalam satu institusi adalah change management</t>
  </si>
  <si>
    <t>Tentu ada, karena ini sebagai kompas dan guideline dalam menempuh setiap pentahapan pekerjaan</t>
  </si>
  <si>
    <t>Setiap framework memiliki kelebihannya masing-masing harus ada sebuah jembatan yang diperlukan dalam perencanaan strategis tidak hanya di dibidang TI tetapi juga berkolerasi dalam strategis bisnis</t>
  </si>
  <si>
    <t>Expert 9</t>
  </si>
  <si>
    <t>3.Industri Pengolahan, 7.Perdagangan Besar &amp; Eceran; Reparasi dan Perawatan Mobil dan Sepeda Motor, 9.Penyediaan Akomodasi dan Makanan &amp; Minuman</t>
  </si>
  <si>
    <t>Tata Kelola TI/ IT Governance, Arsitektur Enterprise, Perencanaan Strategis TI, Audit &amp; Manajemen TI, Pengembang Aplikasi, Cybersecurity</t>
  </si>
  <si>
    <t>Akademisi sistem informasi</t>
  </si>
  <si>
    <t>Ya</t>
  </si>
  <si>
    <t>Keamanan Informasi (Cybersecurity)</t>
  </si>
  <si>
    <t>Dapat diterapkan</t>
  </si>
  <si>
    <t>Penyelarasan dengan AI (Artificial</t>
  </si>
  <si>
    <t>Expert 10</t>
  </si>
  <si>
    <t>Perencanaan Strategis TI, Cybersecurity</t>
  </si>
  <si>
    <t>TOGAF, Ward &amp; Peppard, COBIT</t>
  </si>
  <si>
    <t xml:space="preserve">Ya </t>
  </si>
  <si>
    <t>Tata kelola TI</t>
  </si>
  <si>
    <t>Ya, karena sesuai dengan kebutuhan organisasi saya.</t>
  </si>
  <si>
    <t>Sustainability integration</t>
  </si>
  <si>
    <t>Expert 11</t>
  </si>
  <si>
    <t>10.Informasi dan Komunikasi, 16.Pendidikan</t>
  </si>
  <si>
    <t>Tata Kelola TI/ IT Governance, Arsitektur Enterprise, Perencanaan Strategis TI</t>
  </si>
  <si>
    <t>ya</t>
  </si>
  <si>
    <t>pemetaan arsitektur as-is yang relevan</t>
  </si>
  <si>
    <t>pada dasarnya penerapan framework ini bergantung pada pemahaman para pimpinan (leader)</t>
  </si>
  <si>
    <t>pemetaan arsitektur as is yang transparan sehingga dapat menghasilkan perencanaan yang lebih akurat dalam pelaksanaan</t>
  </si>
  <si>
    <t>Expert 12</t>
  </si>
  <si>
    <t>2. Pertambangan dan Penggalian</t>
  </si>
  <si>
    <t>Perencanaan Strategis TI, Audit &amp; Manajemen TI, Pengembang Aplikasi</t>
  </si>
  <si>
    <t>Ya, model tersebut pada prinsipnya sudah menggambarkan hubungan yang logis dan berurutan. Strategi TI menjadi arah (why), arsitektur TI menjadi desain implementatif (what &amp; how), dan tata kelola TI memastikan pengendalian, kepatuhan, serta pencapaian nilai (control &amp; assurance). Jika dirancang dengan baik, ketiganya membentuk siklus yang saling menguatkan dan terintegrasi.</t>
  </si>
  <si>
    <t>Keterkaitan KPI dan value realization, agar lebih terukur kontribusinya terhadap kinerja bisnis.
Manajemen risiko dan keamanan informasi, agar terintegrasi eksplisit dalam arsitektur dan governance.
Mekanisme feedback loop, untuk memastikan evaluasi berkala dan continuous improvement.
Change management &amp; people aspect, karena transformasi TI sangat bergantung pada kesiapan organisasi.</t>
  </si>
  <si>
    <t>Ya, dapat diterapkan. Dalam konteks organisasi yang kompleks dan teregulasi, integrasi antara strategi, arsitektur, dan tata kelola sangat penting untuk menjaga alignment dengan tujuan korporasi, memastikan kepatuhan regulasi, serta mengoptimalkan investasi TI. Model ini juga relevan untuk meningkatkan maturity tata kelola TI secara bertahap dan terstruktur.</t>
  </si>
  <si>
    <t>Mengintegrasikan pendekatan berbasis value (value-based IT management).
Memasukkan elemen digital capability dan data governance secara eksplisit.
Menambahkan indikator maturity level sebagai alat ukur perkembangan.
Menyesuaikan model agar adaptif terhadap dinamika teknologi seperti AI, cloud, dan cybersecurity risk.</t>
  </si>
  <si>
    <t>Bayu Wirayuda</t>
  </si>
  <si>
    <t>8.Pengangkutan dan Pergudangan, 19.Aktivitas Jasa Lainnya</t>
  </si>
  <si>
    <t>085888173222</t>
  </si>
  <si>
    <t>Infrastructure IT, Cybersecurity</t>
  </si>
  <si>
    <t>Menurut pandangan saya, model Integrasi Perencanaan Strategis TI telah mampu merepresentasikan keterkaitan yang logis antara strategi, arsitektur, dan tata kelola TI, selama model tersebut dirancang secara bertahap, terstruktur, serta memiliki keterhubungan yang jelas baik secara vertikal (top-down) maupun secara horizontal melalui penyelarasan lintas fungsi.</t>
  </si>
  <si>
    <t>Apabila meninjau model Integrasi Perencanaan Strategis TI secara umum, terdapat beberapa komponen yang umumnya masih perlu diperbaiki atau disempurnakan agar keterkaitan antara strategi, arsitektur, dan tata kelola TI dapat berjalan secara lebih optimal dan efektif.</t>
  </si>
  <si>
    <t>Pada dasarnya, framework Integrasi Perencanaan Strategis TI dapat diimplementasikan dalam lingkungan organisasi, khususnya pada organisasi yang memiliki proses bisnis yang kompleks, beragam aplikasi, serta tuntutan tata kelola TI yang kuat dan terstruktur. Alasannya :
1. Mendukung Alignment Bisnis dan TI
2. Memberikan Struktur yang Sistematis
3. Meningkatkan Pengendalian Risiko dan Investasi
4. Cocok untuk Organisasi yang Sedang Transformasi Digital</t>
  </si>
  <si>
    <t>saran tambahan untuk pengembangan model Integrasi Perencanaan Strategis TI di masa mendatang agar lebih adaptif, terukur, dan relevan dengan dinamika bisnis:
1. Integrasi Digital Strategy dan Business Agility
2. Penguatan Data-Driven Governance
3. Integrasi Manajemen Risiko Siber
4. Penyesuaian dengan Arsitektur Hybrid (Cloud &amp; On-Premise)
5. Penguatan Change Management &amp; People Aspect
6. Continuous Improvement Framework</t>
  </si>
  <si>
    <t>Shofwan Hanief</t>
  </si>
  <si>
    <t>081239555799</t>
  </si>
  <si>
    <t>Audit &amp; Manajemen TI</t>
  </si>
  <si>
    <t xml:space="preserve">Sudah dapat memotret </t>
  </si>
  <si>
    <t>Service quality</t>
  </si>
  <si>
    <t>Dapat, karena flexible disesuaikan dengan kebutuhan dan tujuan organisasi dalam mengelola TI</t>
  </si>
  <si>
    <t>Berbasis komputerisasi agar proses tata kelola dan evaluasi dapat terlihat perjalanannya dari tahun ke tahun</t>
  </si>
  <si>
    <t>Expert 13</t>
  </si>
  <si>
    <t>Tata Kelola TI/ IT Governance, Audit &amp; Manajemen TI, Pengembang Aplikasi</t>
  </si>
  <si>
    <t>Model integrasi sudah menggambarkan hubungan logis yang jelas antara strategi, arsitektur, dan tata kelola TI, dimana strategi TI (Ward &amp; Peppard) menjadi dasar dalam perancangan arsitektur (TOGAF), dan selanjutnya dikendalikan serta dimonitor melalui tata kelola TI (COBIT 2019). Hubungan ini menunjukkan alur yang terstruktur dari perencanaan hingga implementasi dan pengendalian.</t>
  </si>
  <si>
    <t>Komponen yang perlu disempurnakan adalah:
Mekanisme integrasi antar framework (mapping yang lebih detail antar artefak)
Penyesuaian terhadap tingkat kematangan organisasi (maturity level)
Penyederhanaan implementasi agar lebih praktis dan tidak terlalu kompleks
Penambahan aspek agile/adaptability untuk mendukung perubahan bisnis yang cepat</t>
  </si>
  <si>
    <t>Framework ini dapat diterapkan di organisasi karena mampu mengintegrasikan aspek strategi, arsitektur, dan tata kelola TI secara menyeluruh. Selain itu, framework ini mendukung kebutuhan organisasi dalam hal alignment bisnis dan TI, pengelolaan risiko, serta penyusunan roadmap TI yang terstruktur. Namun, implementasinya perlu disesuaikan dengan tingkat kematangan dan kompleksitas organisasi.</t>
  </si>
  <si>
    <t>Saran pengembangan ke depan:
Menambahkan panduan implementasi praktis (guideline step-by-step)
Mengintegrasikan pendekatan agile dan DevOps untuk meningkatkan adaptabilitas
Menyediakan template artefak (roadmap, blueprint, KPI, risk register)
Menyesuaikan model dengan berbagai level organisasi (kecil, menengah, besar)
Mengintegrasikan dengan standar lain seperti ISO 27001 untuk penguatan aspek keamanan</t>
  </si>
  <si>
    <t>Expert 14</t>
  </si>
  <si>
    <t>Tata Kelola TI/ IT Governance, Perencanaan Strategis TI</t>
  </si>
  <si>
    <t>Scara konseptual, model integrasi strategi-arsitektur-tata kelola sdh logis jk mengikuti alur : strategi bisnis &amp; SI/TI (dari Ward n Peppard) -&gt; penerjemahan ke enterprise architectur (togaf) -&gt; pengendalian evaluasi kinerja (cobit). Rantai ini scara teori sdh tepat dan saling melengkapi. Nah. Karena masih highlevel, model cenderung linear…idealnya di+ mekanisme feedback dari governance (monitoring , evaluation) kembali ke level strategi agar lbh adaptif n dinamis</t>
  </si>
  <si>
    <t>Komponen mekanisme translasi strategi ke arsitektur, agar tdk hanya konseptual tp jelas bagaimana portofolio strategis diterjemahkan menjd roadmap araitektur. Lalu perlu jg di+ aspek value realization dan feedback loop kinerja (cobit mea) ke strategic layer jd modelnya tidak ganya alignment-oriented tp outcome dan value driven</t>
  </si>
  <si>
    <t>Bisa donk, karena menbantu menjaga alignment bisnis TI, konsisten arsitektur dan akuntabilitas serta kesiapan audit. Namun hati2 implementasinya harus disesuaikan dgn skala dan dinamika perusahaan.</t>
  </si>
  <si>
    <t>Kedepan, modelnya perlu memasukkan perspektif transformasi digital (maturity digital n innovation governance). Juga perlu ditekankan alignment yg bersifat dinamis, lalu masukkan jg dimensi leadership, culture.</t>
  </si>
  <si>
    <t>Expert 15</t>
  </si>
  <si>
    <t>Tata Kelola TI/ IT Governance, Arsitektur Enterprise</t>
  </si>
  <si>
    <t>TOGAF, Ward &amp; Peppard, COBIT, ITIL, SPBE, FEAF, ZACHMAN dll</t>
  </si>
  <si>
    <t>sudah pasti</t>
  </si>
  <si>
    <t>tidak ada</t>
  </si>
  <si>
    <t>dapat - masing-masing memiliki kelebihan dan kelemahan masing-masing</t>
  </si>
  <si>
    <t>-----</t>
  </si>
  <si>
    <t>John Saimara</t>
  </si>
  <si>
    <t>7.Perdagangan Besar &amp; Eceran; Reparasi dan Perawatan Mobil dan Sepeda Motor</t>
  </si>
  <si>
    <t>0811171135</t>
  </si>
  <si>
    <t>Ya, tapi memang perlu pemahaman yg lebih mendalam dahulu spy bisa melihat benang merahnya</t>
  </si>
  <si>
    <t>Sudah baik, hanya pemahaman kita atas dasar teori tsb yg membuat kita kurang memahami konektivitasnya. Pengalaman di dunia IT sangat mempengaruhi implementasinya</t>
  </si>
  <si>
    <t>Bisa saja, fokus pada solusi, fungsi dan kesesuaian dengan kondisi diskusi perusahaan. IT menyediakan banyak alternatif teknologi dan tools spy strategi IT bisa diimplementasikan.</t>
  </si>
  <si>
    <t>Implementasinya tidak mudah tapi bukan berarti tidak bisa dijalankan.</t>
  </si>
  <si>
    <t>Expert 16</t>
  </si>
  <si>
    <t>Tata Kelola TI/ IT Governance, Perencanaan Strategis TI, Audit &amp; Manajemen TI</t>
  </si>
  <si>
    <t>perlu dikombinasikan dengan kerangka kerja lain.</t>
  </si>
  <si>
    <t>sisi implementasi Ward &amp; Peppard dengan menambahkan dimensi arsitektur teknis dan kontrol tata kelola</t>
  </si>
  <si>
    <t xml:space="preserve">bisa karena keselarasan antara misi strategis dan investasi sesuai kondisi BUMN dan Bank
</t>
  </si>
  <si>
    <t>menciptakan model Perencanaan Strategis TI (PSTI) yang lebih tangguh dan relevan bagi organisasi modern (terutama Bank dan BUMN)</t>
  </si>
  <si>
    <t>Expert 17</t>
  </si>
  <si>
    <t>13.Aktivitas Profesional, Ilmiah, dan Teknis</t>
  </si>
  <si>
    <t>TOGAF, Ward &amp; Peppard, COBIT, ITIL, SPBE, ISO 20000, ISO 27001, ISO 27701, DAMA DMBOK</t>
  </si>
  <si>
    <t>ditambahkan dengan NIST dan CIS agar lebih adaptif dalam kesiapan cyber security defense, khususnya dalam penerapan digitalisasi</t>
  </si>
  <si>
    <t>Expert 1 8</t>
  </si>
  <si>
    <t>Ward &amp; Peppard, COBIT, ITIL, SPBE</t>
  </si>
  <si>
    <t>Menurut saya, model Integrasi Perencanaan Strategis TI pada dasarnya sudah menggambarkan hubungan yang logis antara strategi, arsitektur, dan tata kelola TI. Strategi berperan sebagai arah dan tujuan organisasi, arsitektur TI menerjemahkan strategi tersebut ke dalam desain sistem, aplikasi, dan infrastruktur, sedangkan tata kelola TI memastikan bahwa implementasi berjalan sesuai kebijakan, standar, serta prinsip akuntabilitas. Jika ketiganya terhubung secara sistematis, maka akan tercipta keselarasan (alignment) antara tujuan bisnis dan pemanfaatan TI.</t>
  </si>
  <si>
    <t>1. Mekanisme evaluasi dan pengukuran kinerja (KPI TI) agar dampak strategi TI terhadap kinerja organisasi dapat diukur secara lebih objektif.
2. Manajemen risiko TI, terutama terkait keamanan informasi dan keberlanjutan layanan (business continuity).
3. Integrasi komunikasi antar unit bisnis dan TI, agar perencanaan tidak berjalan secara silo.
4. Fleksibilitas arsitektur, sehingga mampu beradaptasi dengan perubahan teknologi dan kebutuhan bisnis yang dinamis.</t>
  </si>
  <si>
    <t>Framework ini pada prinsipnya dapat diterapkan, karena membantu menyelaraskan perencanaan TI dengan strategi organisasi secara menyeluruh. Dengan adanya integrasi antara strategi, arsitektur, dan tata kelola, organisasi dapat mengurangi pemborosan investasi TI, meningkatkan efisiensi operasional, serta memastikan bahwa setiap inisiatif TI benar-benar mendukung pencapaian tujuan strategis. Namun, keberhasilan penerapan sangat bergantung pada komitmen manajemen dan kesiapan sumber daya.</t>
  </si>
  <si>
    <t>1. Menambahkan pendekatan berbasis agile atau adaptive planning agar lebih responsif terhadap perubahan.
2. Mengintegrasikan aspek transformasi digital dan inovasi sebagai bagian eksplisit dalam model.
3. Memperkuat aspek manajemen perubahan (change management) untuk mendukung implementasi strategi TI.
4. Mengembangkan panduan implementasi yang lebih praktis agar mudah diadopsi oleh berbagai jenis organisasi.</t>
  </si>
  <si>
    <t>Hasdi</t>
  </si>
  <si>
    <t>081510348043</t>
  </si>
  <si>
    <t>Tata Kelola TI/ IT Governance, Arsitektur Enterprise, Perencanaan Strategis TI, Audit &amp; Manajemen TI, Pengembang Aplikasi, Infrastructure IT, Cybersecurity</t>
  </si>
  <si>
    <t>Ya, sudah menggambarkan</t>
  </si>
  <si>
    <t>Tata kelola IT</t>
  </si>
  <si>
    <t>Ya, karena organisasi sangat mengandalkan performa IT</t>
  </si>
  <si>
    <t>Bisa melibatkan AI dalam pengembangan model</t>
  </si>
  <si>
    <t>Expert 19</t>
  </si>
  <si>
    <t>Arsitektur Enterprise, Perencanaan Strategis TI, Pengembang Aplikasi</t>
  </si>
  <si>
    <t>Ward &amp; Peppard</t>
  </si>
  <si>
    <t>strategi</t>
  </si>
  <si>
    <t>bisa diterapkan</t>
  </si>
  <si>
    <t>perlu penyelarasan anggaran dengan strategi</t>
  </si>
  <si>
    <t xml:space="preserve">Kriter  Olah Data 1 </t>
  </si>
  <si>
    <t>TOTAL</t>
  </si>
  <si>
    <t>1. Mengolah berdasarkan kriteria rekomendasi praktisi &amp; akademisi yang mempunyai penglaman framework TOGAF, COBIT, Ward &amp; Peppard (min 3 framework)</t>
  </si>
  <si>
    <t>Ne (Number of Expert)</t>
  </si>
  <si>
    <t>2. Mengolah berdasarkan filter ke 2 berdasarkan Bidang Keahlian (Kolom G), pengalaman perencanaan strategis TI</t>
  </si>
  <si>
    <t>Ne (Number of expert)</t>
  </si>
  <si>
    <t xml:space="preserve">3. Mengola data berdasarkan filter 1, 2 digabungkan &amp; sisanya dihapus </t>
  </si>
  <si>
    <t>Responden Profiles</t>
  </si>
  <si>
    <t>Frequency</t>
  </si>
  <si>
    <t>%</t>
  </si>
  <si>
    <t>Rekapitulasi Data</t>
  </si>
  <si>
    <t>Responden Characteristics</t>
  </si>
  <si>
    <t>Gender</t>
  </si>
  <si>
    <t>Male</t>
  </si>
  <si>
    <t>Female</t>
  </si>
  <si>
    <t>Summary</t>
  </si>
  <si>
    <t>Occupation</t>
  </si>
  <si>
    <t>IT Practical</t>
  </si>
  <si>
    <t>IT Counsultan</t>
  </si>
  <si>
    <t>Lecture/ Teacher</t>
  </si>
  <si>
    <t>Sector of Industry (base on KBLI)</t>
  </si>
  <si>
    <t>Mining (2)</t>
  </si>
  <si>
    <t>Education (16)</t>
  </si>
  <si>
    <t>ICT (10)</t>
  </si>
  <si>
    <t>Professional, Scientific, and Technical Activities (13)</t>
  </si>
  <si>
    <t>Accounting &amp; Insurance</t>
  </si>
  <si>
    <t>Other Activity</t>
  </si>
  <si>
    <t xml:space="preserve">Pengalaman dibidang IT </t>
  </si>
  <si>
    <t>No</t>
  </si>
  <si>
    <t>Best Practise/ Framework</t>
  </si>
  <si>
    <t>Pertanyaan</t>
  </si>
  <si>
    <t>1.   Sejauh mana komponen Analisis SWOT, PEST, Five Forces dalam Strategic Layer (Ward &amp; Peppard) relevan dan esensial untuk perencanaan strategis TI?</t>
  </si>
  <si>
    <t>2.    Sejauh mana komponen Perumusan Tujuan Strategis TI, seperti Tujuan strategis TI dan Portofolio aplikasi pada Ward &amp; Peppard relevan dalam framework perencanaan TI yang terintegrasi?</t>
  </si>
  <si>
    <t>3.   Apakah Analisis Portofolio Aplikasi dalam Ward &amp; Peppard, menggunakan McFarlan Grid dan Prioritas Aplikasi, memberikan kontribusi signifikan pada perencanaan strategis TI yang terintegrasi?</t>
  </si>
  <si>
    <t>4.   Sejauh mana Desain Arsitektur TI dalam TOGAF, seperti Architecture Vision dan Architecture Requirements, berkontribusi pada keberhasilan perencanaan strategis TI?</t>
  </si>
  <si>
    <t>5.   Sejauh mana Desain Arsitektur TI dalam TOGAF, seperti Architecture Vision dan Architecture Requirements, berkontribusi pada keberhasilan perencanaan strategis TI?</t>
  </si>
  <si>
    <t xml:space="preserve">6.   Apakah komponen Data &amp; Application Architecture dalam TOGAF, seperti Data Models dan Application Roadmap, memberikan kontribusi pada desain dan implementasi arsitektur TI yang efektif? </t>
  </si>
  <si>
    <t>7.  Apakah Pengelolaan dan Pengukuran Kinerja TI dalam COBIT 2019, seperti KPI, KGI, dan Dashboards, relevan dalam pengelolaan kinerja TI yang mendukung tujuan bisnis dan TI?</t>
  </si>
  <si>
    <t xml:space="preserve">8.  Bagaimana relevansi Tata Kelola TI dalam COBIT 2019, termasuk Governance Objectives dan EDM Objectives, dalam mengelola dan mengarahkan implementasi TI? </t>
  </si>
  <si>
    <t>9.   Sejauh mana Risiko dan Kepatuhan dalam COBIT 2019, seperti Risk Register dan Compliance Checklists, penting dalam memastikan kepatuhan dan pengelolaan risiko TI dalam perencanaan strategis TI yang terintegrasi?</t>
  </si>
  <si>
    <t>10.  Sejauh mana Integrasi antara Arsitektur dan Tata Kelola TI dapat mendukung implementasi Architecture Roadmap dan Goal Alignment dalam organisasi?</t>
  </si>
  <si>
    <t xml:space="preserve">1.   Sejauh mana hubungan antara strategi bisnis dan strategi TI dalam Ward &amp; Peppard dapat diintegrasikan dengan arsitektur TI dalam TOGAF? </t>
  </si>
  <si>
    <t>2.   Sejauh mana strategi TI yang digambarkan dalam Ward &amp; Peppard dapat diterjemahkan menjadi desain arsitektur TI yang dihasilkan oleh TOGAF?</t>
  </si>
  <si>
    <t>3.   Bagaimana integrasi antara portofolio aplikasi dalam Ward &amp; Peppard dan roadmap aplikasi dalam TOGAF dapat mendukung pencapaian tujuan strategis TI yang lebih efisien?</t>
  </si>
  <si>
    <t xml:space="preserve">4.   Sejauh mana proses perencanaan arsitektur TI dalam TOGAF dapat diselaraskan dengan pengelolaan kinerja TI dalam COBIT 2019? </t>
  </si>
  <si>
    <t>5. Sejauh mana desain arsitektur TI yang dihasilkan oleh TOGAF dapat mendukung pengukuran kinerja TI dalam COBIT 2019?</t>
  </si>
  <si>
    <t xml:space="preserve">6 Sejauh mana tata kelola TI dalam COBIT 2019 dapat memastikan implementasi desain arsitektur TI yang sesuai dengan tujuan strategis dalam Ward &amp; Peppard?    . </t>
  </si>
  <si>
    <t>7.  Bagaimana proses pengelolaan risiko dalam COBIT 2019 dapat diintegrasikan dengan strategi TI yang telah digariskan dalam Ward &amp; Peppard?</t>
  </si>
  <si>
    <t>Kertas Kerja Perhitungan  : Profil Responden, Uji Validitas/Reliabilitas, dan Readiness Gap Analysis</t>
  </si>
  <si>
    <t>Komponen</t>
  </si>
  <si>
    <t>Rumus/Logika</t>
  </si>
  <si>
    <t>Keterangan</t>
  </si>
  <si>
    <t>Persentase responden</t>
  </si>
  <si>
    <t>=Jumlah kategori / Total responden</t>
  </si>
  <si>
    <t>Digunakan pada sheet 01_Profil_Responden.</t>
  </si>
  <si>
    <t>CVR</t>
  </si>
  <si>
    <t>=(Ne - N/2)/(N/2)</t>
  </si>
  <si>
    <t>Ne = jumlah pakar yang menilai item relevan; N = jumlah seluruh pakar.</t>
  </si>
  <si>
    <t>S-CVI/Ave</t>
  </si>
  <si>
    <t>=AVERAGE(I-CVI)</t>
  </si>
  <si>
    <t>Rata-rata validitas isi pada seluruh item.</t>
  </si>
  <si>
    <t>Aiken's V</t>
  </si>
  <si>
    <t>=SUM(s)/(n*(c-1)); s = r - lo</t>
  </si>
  <si>
    <t>n = jumlah pakar; c = jumlah kategori skala; lo = skor terendah.</t>
  </si>
  <si>
    <t>Cronbach's Alpha</t>
  </si>
  <si>
    <t>=k/(k-1)*(1-SUM(Varians Item)/Varians Total)</t>
  </si>
  <si>
    <t>Mengukur reliabilitas internal instrumen.</t>
  </si>
  <si>
    <t>Kendall's W</t>
  </si>
  <si>
    <t>=S/(m^2*(n^3-n)/12)</t>
  </si>
  <si>
    <t>m = jumlah pakar; n = jumlah item; S = jumlah kuadrat deviasi ranking.</t>
  </si>
  <si>
    <t>IQR Delphi</t>
  </si>
  <si>
    <t>=Q3-Q1</t>
  </si>
  <si>
    <t>Konsensus Delphi dianggap tercapai apabila IQR ≤ 1.</t>
  </si>
  <si>
    <t>Readiness gap</t>
  </si>
  <si>
    <t>=Target - Current</t>
  </si>
  <si>
    <t>Selisih antara kondisi target dan kondisi saat ini.</t>
  </si>
  <si>
    <t>Level readiness</t>
  </si>
  <si>
    <t>=IF(Gap&lt;=20,"Managed",IF(Gap&lt;=35,"Defined","Initial"))</t>
  </si>
  <si>
    <t>Klasifikasi sederhana untuk   penelitian.</t>
  </si>
  <si>
    <t>Table 4. Profil Responden   Ilustratif</t>
  </si>
  <si>
    <t>Kategori Responden</t>
  </si>
  <si>
    <t>Jumlah</t>
  </si>
  <si>
    <t>Persentase</t>
  </si>
  <si>
    <t>Rumus</t>
  </si>
  <si>
    <t>=B4/$B$10</t>
  </si>
  <si>
    <t>=B5/$B$10</t>
  </si>
  <si>
    <t>=B6/$B$10</t>
  </si>
  <si>
    <t>Praktisi IT atau manajer TI</t>
  </si>
  <si>
    <t>=B7/$B$10</t>
  </si>
  <si>
    <t>=B8/$B$10</t>
  </si>
  <si>
    <t>Total</t>
  </si>
  <si>
    <t>=SUM(B4:B8)</t>
  </si>
  <si>
    <t>Kertas Kerja CVR dan S-CVI/Ave</t>
  </si>
  <si>
    <t>Item</t>
  </si>
  <si>
    <t>Aspek</t>
  </si>
  <si>
    <t>N Pakar</t>
  </si>
  <si>
    <t>Ne Relevan</t>
  </si>
  <si>
    <t>I-CVI</t>
  </si>
  <si>
    <t>Interpretasi</t>
  </si>
  <si>
    <t>I1</t>
  </si>
  <si>
    <t>Kejelasan konsep framework</t>
  </si>
  <si>
    <t>=(Ne - N/2)/(N/2); =D4/C4</t>
  </si>
  <si>
    <t>I2</t>
  </si>
  <si>
    <t>Kelengkapan komponen framework</t>
  </si>
  <si>
    <t>=(Ne - N/2)/(N/2); =D5/C5</t>
  </si>
  <si>
    <t>I3</t>
  </si>
  <si>
    <t>Kesesuaian integrasi framework</t>
  </si>
  <si>
    <t>=(Ne - N/2)/(N/2); =D6/C6</t>
  </si>
  <si>
    <t>I4</t>
  </si>
  <si>
    <t>Relevansi indikator</t>
  </si>
  <si>
    <t>=(Ne - N/2)/(N/2); =D7/C7</t>
  </si>
  <si>
    <t>I5</t>
  </si>
  <si>
    <t>Keterpaduan alur proses</t>
  </si>
  <si>
    <t>=(Ne - N/2)/(N/2); =D8/C8</t>
  </si>
  <si>
    <t>I6</t>
  </si>
  <si>
    <t>Potensi penerapan organisasi</t>
  </si>
  <si>
    <t>=(Ne - N/2)/(N/2); =D9/C9</t>
  </si>
  <si>
    <t>I7</t>
  </si>
  <si>
    <t>Kejelasan output framework</t>
  </si>
  <si>
    <t>=(Ne - N/2)/(N/2); =D10/C10</t>
  </si>
  <si>
    <t>Ringkasan</t>
  </si>
  <si>
    <t>CVR Minimum</t>
  </si>
  <si>
    <t>Valid</t>
  </si>
  <si>
    <t>CVR Maksimum</t>
  </si>
  <si>
    <t>Validasi isi sangat baik</t>
  </si>
  <si>
    <t>Kertas Kerja Aiken's V</t>
  </si>
  <si>
    <t>n Pakar</t>
  </si>
  <si>
    <t>Skala Maks (c)</t>
  </si>
  <si>
    <t>Skor Terendah (lo)</t>
  </si>
  <si>
    <t>Σs</t>
  </si>
  <si>
    <t>=Σs/(n*(c-lo)); =F4/(C4*(D4-E4))</t>
  </si>
  <si>
    <t>=Σs/(n*(c-lo)); =F5/(C5*(D5-E5))</t>
  </si>
  <si>
    <t>=Σs/(n*(c-lo)); =F6/(C6*(D6-E6))</t>
  </si>
  <si>
    <t>=Σs/(n*(c-lo)); =F7/(C7*(D7-E7))</t>
  </si>
  <si>
    <t>=Σs/(n*(c-lo)); =F8/(C8*(D8-E8))</t>
  </si>
  <si>
    <t>=Σs/(n*(c-lo)); =F9/(C9*(D9-E9))</t>
  </si>
  <si>
    <t>=Σs/(n*(c-lo)); =F10/(C10*(D10-E10))</t>
  </si>
  <si>
    <t>Aiken's V Minimum</t>
  </si>
  <si>
    <t>Aiken's V Maksimum</t>
  </si>
  <si>
    <t>V = S(s) / [n(c - 1)]</t>
  </si>
  <si>
    <t xml:space="preserve">Keterangan : </t>
  </si>
  <si>
    <t>s=r-lo</t>
  </si>
  <si>
    <t>r= skor yang diberikan pakar</t>
  </si>
  <si>
    <t>lo= skor terendah</t>
  </si>
  <si>
    <t>n= jumlah pakar</t>
  </si>
  <si>
    <t>c= jumlah kategori penilaian</t>
  </si>
  <si>
    <t>Kertas Kerja Reliabilitas dan Konsensus Pakar</t>
  </si>
  <si>
    <t>Uji</t>
  </si>
  <si>
    <t>Input 1</t>
  </si>
  <si>
    <t>Input 2</t>
  </si>
  <si>
    <t>Hasil</t>
  </si>
  <si>
    <t>k = 7 item</t>
  </si>
  <si>
    <t>Σ varians item = 3.32; varians total = 14.00</t>
  </si>
  <si>
    <t>=7/(7-1)*(1-3.32/14.00)</t>
  </si>
  <si>
    <t>Reliabel</t>
  </si>
  <si>
    <t>m = 19 pakar; n = 7 item</t>
  </si>
  <si>
    <t>S = 7480</t>
  </si>
  <si>
    <t>=7480/(19^2*((7^3-7)/12))</t>
  </si>
  <si>
    <t>Konsensus kuat</t>
  </si>
  <si>
    <t>IQR Delphi Round 2</t>
  </si>
  <si>
    <t>Q1 = 4</t>
  </si>
  <si>
    <t>Q3 = 5</t>
  </si>
  <si>
    <t>=5-4</t>
  </si>
  <si>
    <t>Konsensus tercapai karena IQR ≤ 1</t>
  </si>
  <si>
    <t xml:space="preserve">Table 5. Hasil Uji Validitas dan Reliabilitas  </t>
  </si>
  <si>
    <t>Sumber Perhitungan</t>
  </si>
  <si>
    <t>02_CVR_CVI!E13:E14</t>
  </si>
  <si>
    <t>02_CVR_CVI!E15</t>
  </si>
  <si>
    <t>Kesepakatan pakar tinggi</t>
  </si>
  <si>
    <t>03_AikenV!C13:C14</t>
  </si>
  <si>
    <t>04_Reliabilitas!E4</t>
  </si>
  <si>
    <t>04_Reliabilitas!E5</t>
  </si>
  <si>
    <t>IQR Delphi round 2</t>
  </si>
  <si>
    <t>Konsensus tercapai</t>
  </si>
  <si>
    <t>04_Reliabilitas!E6</t>
  </si>
  <si>
    <t xml:space="preserve">Table 6. Applicability Index dan Gap Analysis  </t>
  </si>
  <si>
    <t>Dimensi</t>
  </si>
  <si>
    <t>Current (%)</t>
  </si>
  <si>
    <t>Target (%)</t>
  </si>
  <si>
    <t>Gap (%)</t>
  </si>
  <si>
    <t>Level</t>
  </si>
  <si>
    <t>Strategic alignment</t>
  </si>
  <si>
    <t>=Target-Current; =C4-B4</t>
  </si>
  <si>
    <t>IS/IT portfolio planning</t>
  </si>
  <si>
    <t>=Target-Current; =C5-B5</t>
  </si>
  <si>
    <t>Enterprise architecture blueprint</t>
  </si>
  <si>
    <t>=Target-Current; =C6-B6</t>
  </si>
  <si>
    <t>Governance objective mapping</t>
  </si>
  <si>
    <t>=Target-Current; =C7-B7</t>
  </si>
  <si>
    <t>Risk and control integration</t>
  </si>
  <si>
    <t>=Target-Current; =C8-B8</t>
  </si>
  <si>
    <t>Capability assessment</t>
  </si>
  <si>
    <t>=Target-Current; =C9-B9</t>
  </si>
  <si>
    <t>Performance measurement</t>
  </si>
  <si>
    <t>=Target-Current; =C10-B10</t>
  </si>
  <si>
    <t>Implementation roadmap</t>
  </si>
  <si>
    <t>=Target-Current; =C11-B11</t>
  </si>
  <si>
    <t>Rata-rata</t>
  </si>
  <si>
    <t>=AVERAGE(range)</t>
  </si>
  <si>
    <t xml:space="preserve">Dashboard Ringkas Kertas Kerja  </t>
  </si>
  <si>
    <t>Indikator</t>
  </si>
  <si>
    <t>Nilai</t>
  </si>
  <si>
    <t>Total responden</t>
  </si>
  <si>
    <t>CVR range</t>
  </si>
  <si>
    <t>Aiken's V range</t>
  </si>
  <si>
    <t>Average current readiness</t>
  </si>
  <si>
    <t>Average target readiness</t>
  </si>
  <si>
    <t>Average gap</t>
  </si>
  <si>
    <t>QUANTITATIVE COMPARATIVE EVALUATION —  (19 RESPONDENTS)</t>
  </si>
  <si>
    <t>Scale: 1 = no relevant evidence; 2 = very limited; 3 = partially adequate; 4 = largely complete; 5 = complete and traceable evidence.</t>
  </si>
  <si>
    <t>Respondent</t>
  </si>
  <si>
    <t>Ward &amp; Peppard | Strategic alignment</t>
  </si>
  <si>
    <t>Ward &amp; Peppard | Application portfolio completeness</t>
  </si>
  <si>
    <t>Ward &amp; Peppard | Enterprise architecture completeness</t>
  </si>
  <si>
    <t>Ward &amp; Peppard | Governance and control coverage</t>
  </si>
  <si>
    <t>Ward &amp; Peppard | Risk and capability assessment</t>
  </si>
  <si>
    <t>Ward &amp; Peppard | Requirement-to-control traceability</t>
  </si>
  <si>
    <t>Ward &amp; Peppard | Priority propagation</t>
  </si>
  <si>
    <t>Ward &amp; Peppard | Performance measurement</t>
  </si>
  <si>
    <t>Ward &amp; Peppard | Integration and feedback mechanisms</t>
  </si>
  <si>
    <t>TOGAF ADM | Strategic alignment</t>
  </si>
  <si>
    <t>TOGAF ADM | Application portfolio completeness</t>
  </si>
  <si>
    <t>TOGAF ADM | Enterprise architecture completeness</t>
  </si>
  <si>
    <t>TOGAF ADM | Governance and control coverage</t>
  </si>
  <si>
    <t>TOGAF ADM | Risk and capability assessment</t>
  </si>
  <si>
    <t>TOGAF ADM | Requirement-to-control traceability</t>
  </si>
  <si>
    <t>TOGAF ADM | Priority propagation</t>
  </si>
  <si>
    <t>TOGAF ADM | Performance measurement</t>
  </si>
  <si>
    <t>TOGAF ADM | Integration and feedback mechanisms</t>
  </si>
  <si>
    <t>COBIT 2019 | Strategic alignment</t>
  </si>
  <si>
    <t>COBIT 2019 | Application portfolio completeness</t>
  </si>
  <si>
    <t>COBIT 2019 | Enterprise architecture completeness</t>
  </si>
  <si>
    <t>COBIT 2019 | Governance and control coverage</t>
  </si>
  <si>
    <t>COBIT 2019 | Risk and capability assessment</t>
  </si>
  <si>
    <t>COBIT 2019 | Requirement-to-control traceability</t>
  </si>
  <si>
    <t>COBIT 2019 | Priority propagation</t>
  </si>
  <si>
    <t>COBIT 2019 | Performance measurement</t>
  </si>
  <si>
    <t>COBIT 2019 | Integration and feedback mechanisms</t>
  </si>
  <si>
    <t>PRASASTI | Strategic alignment</t>
  </si>
  <si>
    <t>PRASASTI | Application portfolio completeness</t>
  </si>
  <si>
    <t>PRASASTI | Enterprise architecture completeness</t>
  </si>
  <si>
    <t>PRASASTI | Governance and control coverage</t>
  </si>
  <si>
    <t>PRASASTI | Risk and capability assessment</t>
  </si>
  <si>
    <t>PRASASTI | Requirement-to-control traceability</t>
  </si>
  <si>
    <t>PRASASTI | Priority propagation</t>
  </si>
  <si>
    <t>PRASASTI | Performance measurement</t>
  </si>
  <si>
    <t>PRASASTI | Integration and feedback mechanisms</t>
  </si>
  <si>
    <t>Ward &amp; Peppard | Mean</t>
  </si>
  <si>
    <t>TOGAF ADM | Mean</t>
  </si>
  <si>
    <t>COBIT 2019 | Mean</t>
  </si>
  <si>
    <t>PRASASTI | Mean</t>
  </si>
  <si>
    <t>R01</t>
  </si>
  <si>
    <t>R02</t>
  </si>
  <si>
    <t>R03</t>
  </si>
  <si>
    <t>R04</t>
  </si>
  <si>
    <t>R05</t>
  </si>
  <si>
    <t>R06</t>
  </si>
  <si>
    <t>R07</t>
  </si>
  <si>
    <t>R08</t>
  </si>
  <si>
    <t>R09</t>
  </si>
  <si>
    <t>R10</t>
  </si>
  <si>
    <t>R11</t>
  </si>
  <si>
    <t>R12</t>
  </si>
  <si>
    <t>R13</t>
  </si>
  <si>
    <t>R14</t>
  </si>
  <si>
    <t>R15</t>
  </si>
  <si>
    <t>R16</t>
  </si>
  <si>
    <t>R17</t>
  </si>
  <si>
    <t>R18</t>
  </si>
  <si>
    <t>R19</t>
  </si>
  <si>
    <t>QUANTITATIVE COMPARATIVE — SUMMARY &amp; CALCULATIONS</t>
  </si>
  <si>
    <t>Criterion-level mean score (scale 1–5)</t>
  </si>
  <si>
    <t>Evaluation criterion</t>
  </si>
  <si>
    <t>TOGAF ADM</t>
  </si>
  <si>
    <t>PRASASTI</t>
  </si>
  <si>
    <t>Application portfolio completeness</t>
  </si>
  <si>
    <t>Enterprise architecture completeness</t>
  </si>
  <si>
    <t>Governance and control coverage</t>
  </si>
  <si>
    <t>Risk and capability assessment</t>
  </si>
  <si>
    <t>Requirement-to-control traceability</t>
  </si>
  <si>
    <t>Priority propagation</t>
  </si>
  <si>
    <t>Integration and feedback mechanisms</t>
  </si>
  <si>
    <t>Mean</t>
  </si>
  <si>
    <t>Overall normalized score</t>
  </si>
  <si>
    <t>Approach</t>
  </si>
  <si>
    <t>Sum of 9 criterion means</t>
  </si>
  <si>
    <t>Maximum score</t>
  </si>
  <si>
    <t>Normalized score (%)</t>
  </si>
  <si>
    <t>Ward &amp; Peppard mean</t>
  </si>
  <si>
    <t>TOGAF ADM mean</t>
  </si>
  <si>
    <t>COBIT 2019 mean</t>
  </si>
  <si>
    <t>PRASASTI mean</t>
  </si>
  <si>
    <t>Rank: Ward &amp; Peppard</t>
  </si>
  <si>
    <t>Rank: TOGAF ADM</t>
  </si>
  <si>
    <t>Rank: COBIT 2019</t>
  </si>
  <si>
    <t>Rank: PRASASTI</t>
  </si>
  <si>
    <t>Tie-correction term</t>
  </si>
  <si>
    <t>QUANTITATIVE COMPARATIVE EVALUATION + PAIRED-SAMPLES t-TEST</t>
  </si>
  <si>
    <t>Formula-driven analysis based on the 19 respondent-level records in 'QC Data'; higher scores indicate stronger evaluated capability.</t>
  </si>
  <si>
    <t>SECTION 1 — DESCRIPTIVE COMPARISON</t>
  </si>
  <si>
    <t>Mean score (1–5)</t>
  </si>
  <si>
    <t>Rank (1 = highest)</t>
  </si>
  <si>
    <t>Mean difference vs PRASASTI</t>
  </si>
  <si>
    <t>Interpretation</t>
  </si>
  <si>
    <t>SECTION 2 — RESPONDENT-LEVEL SCORES AND PAIRED DIFFERENCES</t>
  </si>
  <si>
    <t>Scores are linked to QC Data columns AL:AO (the mean of nine criteria for each respondent). Difference = PRASASTI score − comparator score.</t>
  </si>
  <si>
    <t>Difference: P − W&amp;P</t>
  </si>
  <si>
    <t>Difference: P − TOGAF</t>
  </si>
  <si>
    <t>Difference: P − COBIT</t>
  </si>
  <si>
    <t>SECTION 3 — PAIRED-SAMPLES t-TEST SUMMARY</t>
  </si>
  <si>
    <t>Two-tailed paired t-tests compare each comparator with PRASASTI using paired scores from the same 19 respondents. Bonferroni adjustment is included for the three comparisons.</t>
  </si>
  <si>
    <t>Comparison (paired)</t>
  </si>
  <si>
    <t>n</t>
  </si>
  <si>
    <t>Mean comparator</t>
  </si>
  <si>
    <t>Mean PRASASTI</t>
  </si>
  <si>
    <t>Mean difference (P − comparator)</t>
  </si>
  <si>
    <t>SD of differences</t>
  </si>
  <si>
    <t>Standard error</t>
  </si>
  <si>
    <t>t statistic</t>
  </si>
  <si>
    <t>df</t>
  </si>
  <si>
    <t>Two-tailed p-value</t>
  </si>
  <si>
    <t>95% CI lower</t>
  </si>
  <si>
    <t>95% CI upper</t>
  </si>
  <si>
    <t>Bonferroni-adjusted p</t>
  </si>
  <si>
    <t>Conclusion (α = 0.05; adjusted α = 0.0167)</t>
  </si>
  <si>
    <t>PRASASTI vs Ward &amp; Peppard</t>
  </si>
  <si>
    <t>PRASASTI vs TOGAF ADM</t>
  </si>
  <si>
    <t>PRASASTI vs COBIT 2019</t>
  </si>
  <si>
    <t>SECTION 4 — FORMULAS, INTERPRETATION, AND ASSUMPTIONS</t>
  </si>
  <si>
    <t>Mean score</t>
  </si>
  <si>
    <t>AVERAGE(respondent scores)</t>
  </si>
  <si>
    <t>Average score for each approach across the 19 respondents; the underlying approach scores are the means of the nine criterion ratings.</t>
  </si>
  <si>
    <t>Mean difference</t>
  </si>
  <si>
    <t>AVERAGE(PRASASTI − comparator)</t>
  </si>
  <si>
    <t>Positive value means PRASASTI's average respondent-level score is higher than the comparator.</t>
  </si>
  <si>
    <t>SD of paired differences</t>
  </si>
  <si>
    <t>STDEV.S(differences)</t>
  </si>
  <si>
    <t>Sample standard deviation of the 19 paired differences.</t>
  </si>
  <si>
    <t>SD / SQRT(n)</t>
  </si>
  <si>
    <t>Estimated standard error of the mean paired difference.</t>
  </si>
  <si>
    <t>Mean difference / Standard error</t>
  </si>
  <si>
    <t>Tests whether the population mean paired difference is zero.</t>
  </si>
  <si>
    <t>Degrees of freedom</t>
  </si>
  <si>
    <t>n − 1</t>
  </si>
  <si>
    <t>For 19 complete pairs, df = 18.</t>
  </si>
  <si>
    <t>T.DIST.2T(ABS(t), df)</t>
  </si>
  <si>
    <t>Raw p-value for each paired comparison.</t>
  </si>
  <si>
    <t>95% confidence interval</t>
  </si>
  <si>
    <t>Mean difference ± T.INV.2T(0.05, df) × Standard error</t>
  </si>
  <si>
    <t>If the interval excludes zero, the paired difference is significant at the unadjusted 5% level.</t>
  </si>
  <si>
    <t>Bonferroni-adjusted p-value</t>
  </si>
  <si>
    <t>MIN(raw p-value × 3, 1)</t>
  </si>
  <si>
    <t>Adjusts for three pairwise comparisons. Compare adjusted p-values with 0.05 (equivalent to raw p &lt; 0.0167).</t>
  </si>
  <si>
    <t>Assumption to check</t>
  </si>
  <si>
    <t>Inspect distribution of paired differences</t>
  </si>
  <si>
    <t>Paired t-test assumes independent respondent pairs and approximately normally distributed paired differences, especially important with n = 19. If this is not reasonable, consider Wilcoxon signed-rank tests.</t>
  </si>
  <si>
    <t>Scope of conclusion</t>
  </si>
  <si>
    <t>Evidence from this instrument and sample</t>
  </si>
  <si>
    <t>A significant result supports higher scores under the defined criteria and evaluation protocol; it does not prove universal superiority in every organization or context.</t>
  </si>
  <si>
    <t>REPORTING NOTE</t>
  </si>
  <si>
    <t>Use the calculated means, mean differences, confidence intervals, and p-values from Section 3 when writing the Results. Do not claim PRASASTI is statistically superior unless the real QC Data support a positive difference and the relevant adjusted test is significant. The current sheet calculates results from the linked QC Data records; all green cells contain formulas.</t>
  </si>
  <si>
    <t>Mean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</si>
</sst>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yy\ h:mm:ss"/>
    <numFmt numFmtId="165" formatCode="0.0"/>
    <numFmt numFmtId="166" formatCode="d\-mmm"/>
    <numFmt numFmtId="167" formatCode="0.0%"/>
    <numFmt numFmtId="175" formatCode="0\%"/>
  </numFmts>
  <fonts count="36">
    <font>
      <sz val="11"/>
      <name val="Calibri"/>
      <charset val="1"/>
    </font>
    <font>
      <u/>
      <sz val="10"/>
      <color theme="10"/>
      <name val="Calibri"/>
      <family val="2"/>
      <charset val="1"/>
    </font>
    <font>
      <sz val="10"/>
      <color rgb="FF000000"/>
      <name val="Calibri"/>
      <family val="2"/>
      <charset val="1"/>
    </font>
    <font>
      <b/>
      <sz val="12"/>
      <color rgb="FF1F1F1F"/>
      <name val="Docs-Roboto"/>
      <charset val="1"/>
    </font>
    <font>
      <sz val="10"/>
      <color rgb="FFFFFF00"/>
      <name val="Calibri"/>
      <family val="2"/>
      <charset val="1"/>
    </font>
    <font>
      <b/>
      <sz val="10"/>
      <color rgb="FFFFFF00"/>
      <name val="Calibri"/>
      <family val="2"/>
      <charset val="1"/>
    </font>
    <font>
      <b/>
      <sz val="10"/>
      <color theme="1"/>
      <name val="Calibri"/>
      <family val="2"/>
      <charset val="1"/>
    </font>
    <font>
      <sz val="10"/>
      <color theme="1"/>
      <name val="Calibri"/>
      <family val="2"/>
      <charset val="1"/>
    </font>
    <font>
      <sz val="10"/>
      <color theme="4"/>
      <name val="Calibri"/>
      <family val="2"/>
      <charset val="1"/>
    </font>
    <font>
      <b/>
      <sz val="10"/>
      <color rgb="FF000000"/>
      <name val="Calibri"/>
      <family val="2"/>
      <charset val="1"/>
    </font>
    <font>
      <b/>
      <sz val="10"/>
      <color theme="4"/>
      <name val="Calibri"/>
      <family val="2"/>
      <charset val="1"/>
    </font>
    <font>
      <sz val="8"/>
      <name val="Times New Roman"/>
      <family val="1"/>
      <charset val="1"/>
    </font>
    <font>
      <b/>
      <sz val="14"/>
      <color rgb="FF000000"/>
      <name val="Calibri"/>
      <family val="2"/>
      <charset val="1"/>
    </font>
    <font>
      <b/>
      <sz val="11"/>
      <color rgb="FF000000"/>
      <name val="Calibri"/>
      <family val="2"/>
      <charset val="1"/>
    </font>
    <font>
      <b/>
      <sz val="11"/>
      <name val="Calibri"/>
      <family val="2"/>
      <charset val="1"/>
    </font>
    <font>
      <sz val="10"/>
      <name val="Times New Roman"/>
      <family val="1"/>
      <charset val="1"/>
    </font>
    <font>
      <sz val="11"/>
      <name val="Calibri"/>
      <family val="2"/>
      <charset val="1"/>
    </font>
    <font>
      <b/>
      <sz val="14"/>
      <color rgb="FF7F6000"/>
      <name val="Calibri"/>
      <family val="2"/>
      <charset val="1"/>
    </font>
    <font>
      <i/>
      <sz val="9"/>
      <name val="Calibri"/>
      <family val="2"/>
      <charset val="1"/>
    </font>
    <font>
      <b/>
      <sz val="9"/>
      <name val="Calibri"/>
      <family val="2"/>
      <charset val="1"/>
    </font>
    <font>
      <sz val="10"/>
      <name val="Arial"/>
      <family val="2"/>
    </font>
    <font>
      <b/>
      <sz val="14"/>
      <color rgb="FF7F6000"/>
      <name val="Arial"/>
      <family val="2"/>
      <charset val="1"/>
    </font>
    <font>
      <b/>
      <sz val="11"/>
      <name val="Arial"/>
      <family val="2"/>
      <charset val="1"/>
    </font>
    <font>
      <b/>
      <sz val="10"/>
      <name val="Arial"/>
      <family val="2"/>
      <charset val="1"/>
    </font>
    <font>
      <sz val="10"/>
      <name val="Arial"/>
      <family val="2"/>
      <charset val="1"/>
    </font>
    <font>
      <b/>
      <sz val="9"/>
      <color rgb="FFC00000"/>
      <name val="Arial"/>
      <family val="2"/>
      <charset val="1"/>
    </font>
    <font>
      <b/>
      <sz val="9"/>
      <name val="Arial"/>
      <family val="2"/>
      <charset val="1"/>
    </font>
    <font>
      <b/>
      <sz val="9"/>
      <name val="Cambria"/>
      <family val="1"/>
      <charset val="1"/>
    </font>
    <font>
      <b/>
      <sz val="14"/>
      <color rgb="FFFFFFFF"/>
      <name val="Arial"/>
      <charset val="1"/>
    </font>
    <font>
      <i/>
      <sz val="10"/>
      <color rgb="FF404040"/>
      <name val="Arial"/>
      <charset val="1"/>
    </font>
    <font>
      <b/>
      <sz val="11"/>
      <color rgb="FFFFFFFF"/>
      <name val="Cambria"/>
      <charset val="1"/>
    </font>
    <font>
      <b/>
      <sz val="10"/>
      <name val="Cambria"/>
      <charset val="1"/>
    </font>
    <font>
      <i/>
      <sz val="9"/>
      <name val="Cambria"/>
      <charset val="1"/>
    </font>
    <font>
      <b/>
      <sz val="9"/>
      <name val="Cambria"/>
      <charset val="1"/>
    </font>
    <font>
      <b/>
      <sz val="11"/>
      <name val="Cambria"/>
      <charset val="1"/>
    </font>
    <font>
      <sz val="9"/>
      <name val="Consolas"/>
      <charset val="1"/>
    </font>
  </fonts>
  <fills count="10">
    <fill>
      <patternFill patternType="none"/>
    </fill>
    <fill>
      <patternFill patternType="gray125"/>
    </fill>
    <fill>
      <patternFill patternType="solid">
        <fgColor theme="4"/>
        <bgColor rgb="FF1F4E78"/>
      </patternFill>
    </fill>
    <fill>
      <patternFill patternType="solid">
        <fgColor rgb="FFD9EAF7"/>
        <bgColor rgb="FFE2F0D9"/>
      </patternFill>
    </fill>
    <fill>
      <patternFill patternType="solid">
        <fgColor rgb="FFFFD966"/>
        <bgColor rgb="FFFFE699"/>
      </patternFill>
    </fill>
    <fill>
      <patternFill patternType="solid">
        <fgColor rgb="FFFFF2CC"/>
        <bgColor rgb="FFFFFDF5"/>
      </patternFill>
    </fill>
    <fill>
      <patternFill patternType="solid">
        <fgColor rgb="FFFFE699"/>
        <bgColor rgb="FFFFF2CC"/>
      </patternFill>
    </fill>
    <fill>
      <patternFill patternType="solid">
        <fgColor rgb="FFE2F0D9"/>
        <bgColor rgb="FFD9EAF7"/>
      </patternFill>
    </fill>
    <fill>
      <patternFill patternType="solid">
        <fgColor rgb="FF1F4E78"/>
        <bgColor rgb="FF156082"/>
      </patternFill>
    </fill>
    <fill>
      <patternFill patternType="solid">
        <fgColor rgb="FFFFFDF5"/>
        <bgColor rgb="FFFFFFFF"/>
      </patternFill>
    </fill>
  </fills>
  <borders count="8">
    <border>
      <left/>
      <right/>
      <top/>
      <bottom/>
      <diagonal/>
    </border>
    <border>
      <left/>
      <right/>
      <top/>
      <bottom style="thin">
        <color rgb="FF5B3F86"/>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rgb="FFB7B7B7"/>
      </left>
      <right style="thin">
        <color rgb="FFB7B7B7"/>
      </right>
      <top style="thin">
        <color rgb="FFB7B7B7"/>
      </top>
      <bottom style="thin">
        <color rgb="FFB7B7B7"/>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diagonal/>
    </border>
    <border>
      <left style="thin">
        <color rgb="FFB7B7B7"/>
      </left>
      <right style="thin">
        <color rgb="FFB7B7B7"/>
      </right>
      <top/>
      <bottom/>
      <diagonal/>
    </border>
  </borders>
  <cellStyleXfs count="4">
    <xf numFmtId="0" fontId="0" fillId="0" borderId="0"/>
    <xf numFmtId="0" fontId="1" fillId="0" borderId="0"/>
    <xf numFmtId="0" fontId="2" fillId="0" borderId="0"/>
    <xf numFmtId="9" fontId="2" fillId="0" borderId="0"/>
  </cellStyleXfs>
  <cellXfs count="107">
    <xf numFmtId="0" fontId="0" fillId="0" borderId="0" xfId="0"/>
    <xf numFmtId="0" fontId="30" fillId="8" borderId="0" xfId="0" applyFont="1" applyFill="1"/>
    <xf numFmtId="0" fontId="29" fillId="0" borderId="0" xfId="0" applyFont="1" applyAlignment="1">
      <alignment vertical="center" wrapText="1"/>
    </xf>
    <xf numFmtId="0" fontId="28" fillId="8" borderId="0" xfId="0" applyFont="1" applyFill="1" applyAlignment="1">
      <alignment horizontal="center" vertical="center"/>
    </xf>
    <xf numFmtId="0" fontId="18" fillId="5" borderId="0" xfId="0" applyFont="1" applyFill="1" applyAlignment="1">
      <alignment vertical="center" wrapText="1"/>
    </xf>
    <xf numFmtId="0" fontId="17" fillId="4" borderId="0" xfId="0" applyFont="1" applyFill="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2" fillId="0" borderId="3" xfId="0" applyFont="1" applyBorder="1" applyAlignment="1">
      <alignment horizontal="center" vertical="center" wrapText="1"/>
    </xf>
    <xf numFmtId="0" fontId="21" fillId="4" borderId="0" xfId="0" applyFont="1" applyFill="1" applyAlignment="1">
      <alignment horizontal="center" vertical="center"/>
    </xf>
    <xf numFmtId="0" fontId="2" fillId="0" borderId="0" xfId="0" applyFont="1" applyAlignment="1">
      <alignment wrapText="1"/>
    </xf>
    <xf numFmtId="0" fontId="3" fillId="0" borderId="0" xfId="0" applyFont="1"/>
    <xf numFmtId="0" fontId="4" fillId="0" borderId="0" xfId="0" applyFont="1" applyAlignment="1">
      <alignment horizontal="left" vertical="center" wrapText="1"/>
    </xf>
    <xf numFmtId="0" fontId="4" fillId="2" borderId="0" xfId="0" applyFont="1" applyFill="1" applyAlignment="1">
      <alignment horizontal="left" vertical="center" wrapText="1"/>
    </xf>
    <xf numFmtId="0" fontId="5" fillId="0" borderId="0" xfId="0" applyFont="1" applyAlignment="1">
      <alignment horizontal="left" vertical="center" wrapText="1"/>
    </xf>
    <xf numFmtId="0" fontId="4" fillId="0" borderId="0" xfId="0" applyFont="1" applyAlignment="1">
      <alignment wrapText="1"/>
    </xf>
    <xf numFmtId="0" fontId="4"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vertical="center" wrapText="1"/>
    </xf>
    <xf numFmtId="0" fontId="6" fillId="0" borderId="0" xfId="0" applyFont="1" applyAlignment="1">
      <alignment wrapText="1"/>
    </xf>
    <xf numFmtId="0" fontId="7" fillId="2" borderId="0" xfId="0" applyFont="1" applyFill="1" applyAlignment="1">
      <alignment horizontal="left" vertical="center" wrapText="1"/>
    </xf>
    <xf numFmtId="0" fontId="7" fillId="0" borderId="0" xfId="0" applyFont="1" applyAlignment="1">
      <alignment wrapText="1"/>
    </xf>
    <xf numFmtId="0" fontId="8" fillId="0" borderId="0" xfId="0" applyFont="1" applyAlignment="1">
      <alignment wrapText="1"/>
    </xf>
    <xf numFmtId="164" fontId="6" fillId="0" borderId="0" xfId="0" applyNumberFormat="1" applyFont="1" applyAlignment="1">
      <alignment vertical="center" wrapText="1"/>
    </xf>
    <xf numFmtId="165" fontId="8" fillId="0" borderId="0" xfId="0" applyNumberFormat="1" applyFont="1" applyAlignment="1">
      <alignment wrapText="1"/>
    </xf>
    <xf numFmtId="164" fontId="8" fillId="0" borderId="0" xfId="0" applyNumberFormat="1" applyFont="1" applyAlignment="1">
      <alignment vertical="center" wrapText="1"/>
    </xf>
    <xf numFmtId="0" fontId="8" fillId="0" borderId="0" xfId="0" applyFont="1" applyAlignment="1">
      <alignment vertical="center" wrapText="1"/>
    </xf>
    <xf numFmtId="0" fontId="9" fillId="0" borderId="0" xfId="0" applyFont="1" applyAlignment="1">
      <alignment wrapText="1"/>
    </xf>
    <xf numFmtId="164" fontId="7" fillId="0" borderId="0" xfId="0" applyNumberFormat="1" applyFont="1" applyAlignment="1">
      <alignment vertical="center" wrapText="1"/>
    </xf>
    <xf numFmtId="0" fontId="7" fillId="0" borderId="0" xfId="0" applyFont="1" applyAlignment="1">
      <alignment vertical="center" wrapText="1"/>
    </xf>
    <xf numFmtId="0" fontId="10" fillId="0" borderId="0" xfId="0" applyFont="1" applyAlignment="1">
      <alignment wrapText="1"/>
    </xf>
    <xf numFmtId="164" fontId="10" fillId="0" borderId="0" xfId="0" applyNumberFormat="1" applyFont="1" applyAlignment="1">
      <alignment vertical="center" wrapText="1"/>
    </xf>
    <xf numFmtId="0" fontId="10" fillId="0" borderId="0" xfId="0" applyFont="1" applyAlignment="1">
      <alignment vertical="center" wrapText="1"/>
    </xf>
    <xf numFmtId="2" fontId="2" fillId="0" borderId="0" xfId="0" applyNumberFormat="1" applyFont="1" applyAlignment="1">
      <alignment wrapText="1"/>
    </xf>
    <xf numFmtId="0" fontId="2" fillId="0" borderId="1" xfId="0" applyFont="1" applyBorder="1" applyAlignment="1">
      <alignment wrapText="1"/>
    </xf>
    <xf numFmtId="0" fontId="9" fillId="0" borderId="0" xfId="0" applyFont="1"/>
    <xf numFmtId="0" fontId="8" fillId="0" borderId="0" xfId="0" applyFont="1"/>
    <xf numFmtId="0" fontId="2" fillId="0" borderId="0" xfId="0" applyFont="1"/>
    <xf numFmtId="0" fontId="11" fillId="0" borderId="2" xfId="0" applyFont="1" applyBorder="1" applyAlignment="1">
      <alignment horizontal="left" vertical="center" wrapText="1"/>
    </xf>
    <xf numFmtId="9" fontId="11" fillId="0" borderId="2" xfId="0" applyNumberFormat="1" applyFont="1" applyBorder="1" applyAlignment="1">
      <alignment horizontal="left" vertical="center" wrapText="1"/>
    </xf>
    <xf numFmtId="0" fontId="9" fillId="0" borderId="3" xfId="0" applyFont="1" applyBorder="1"/>
    <xf numFmtId="0" fontId="2" fillId="0" borderId="3" xfId="0" applyFont="1" applyBorder="1"/>
    <xf numFmtId="9" fontId="2" fillId="0" borderId="0" xfId="0" applyNumberFormat="1" applyFont="1" applyAlignment="1">
      <alignment wrapText="1"/>
    </xf>
    <xf numFmtId="0" fontId="2" fillId="0" borderId="3" xfId="0" applyFont="1" applyBorder="1" applyAlignment="1">
      <alignment horizontal="left" indent="1"/>
    </xf>
    <xf numFmtId="9" fontId="0" fillId="0" borderId="3" xfId="0" applyNumberFormat="1" applyBorder="1"/>
    <xf numFmtId="0" fontId="9" fillId="0" borderId="3" xfId="0" applyFont="1" applyBorder="1" applyAlignment="1">
      <alignment horizontal="left" indent="1"/>
    </xf>
    <xf numFmtId="9" fontId="9" fillId="0" borderId="3" xfId="0" applyNumberFormat="1" applyFont="1" applyBorder="1"/>
    <xf numFmtId="0" fontId="9" fillId="0" borderId="3" xfId="0" applyFont="1" applyBorder="1" applyAlignment="1">
      <alignment horizontal="left"/>
    </xf>
    <xf numFmtId="0" fontId="2" fillId="0" borderId="3" xfId="0" applyFont="1" applyBorder="1" applyAlignment="1">
      <alignment horizontal="left" wrapText="1" indent="1"/>
    </xf>
    <xf numFmtId="166" fontId="2" fillId="0" borderId="3" xfId="0" applyNumberFormat="1" applyFont="1" applyBorder="1" applyAlignment="1">
      <alignment horizontal="left" wrapText="1" indent="1"/>
    </xf>
    <xf numFmtId="17" fontId="2" fillId="0" borderId="3" xfId="0" applyNumberFormat="1" applyFont="1" applyBorder="1" applyAlignment="1">
      <alignment horizontal="left" wrapText="1" indent="1"/>
    </xf>
    <xf numFmtId="0" fontId="9" fillId="0" borderId="3" xfId="0" applyFont="1" applyBorder="1" applyAlignment="1">
      <alignment wrapText="1"/>
    </xf>
    <xf numFmtId="9" fontId="9" fillId="0" borderId="3" xfId="0" applyNumberFormat="1" applyFont="1" applyBorder="1" applyAlignment="1">
      <alignment wrapText="1"/>
    </xf>
    <xf numFmtId="0" fontId="2" fillId="0" borderId="3" xfId="0" applyFont="1" applyBorder="1" applyAlignment="1">
      <alignment wrapText="1"/>
    </xf>
    <xf numFmtId="0" fontId="7" fillId="0" borderId="3" xfId="0" applyFont="1" applyBorder="1" applyAlignment="1">
      <alignment vertical="top" wrapText="1"/>
    </xf>
    <xf numFmtId="0" fontId="13" fillId="3" borderId="0" xfId="0" applyFont="1" applyFill="1" applyAlignment="1">
      <alignment horizontal="center" vertical="center" wrapText="1"/>
    </xf>
    <xf numFmtId="0" fontId="0" fillId="0" borderId="0" xfId="0" applyAlignment="1">
      <alignment wrapText="1"/>
    </xf>
    <xf numFmtId="167" fontId="0" fillId="0" borderId="0" xfId="0" applyNumberFormat="1"/>
    <xf numFmtId="0" fontId="14" fillId="0" borderId="0" xfId="0" applyFont="1"/>
    <xf numFmtId="167" fontId="14" fillId="0" borderId="0" xfId="0" applyNumberFormat="1" applyFont="1"/>
    <xf numFmtId="2" fontId="0" fillId="0" borderId="0" xfId="0" applyNumberFormat="1" applyAlignment="1">
      <alignment wrapText="1"/>
    </xf>
    <xf numFmtId="2" fontId="13" fillId="3" borderId="0" xfId="0" applyNumberFormat="1" applyFont="1" applyFill="1" applyAlignment="1">
      <alignment horizontal="center" vertical="center" wrapText="1"/>
    </xf>
    <xf numFmtId="0" fontId="15" fillId="0" borderId="0" xfId="0" applyFont="1"/>
    <xf numFmtId="0" fontId="16" fillId="0" borderId="0" xfId="0" applyFont="1"/>
    <xf numFmtId="2" fontId="0" fillId="0" borderId="0" xfId="0" applyNumberFormat="1"/>
    <xf numFmtId="1" fontId="0" fillId="0" borderId="0" xfId="0" applyNumberFormat="1"/>
    <xf numFmtId="165" fontId="0" fillId="0" borderId="0" xfId="0" applyNumberFormat="1"/>
    <xf numFmtId="1" fontId="14" fillId="0" borderId="0" xfId="0" applyNumberFormat="1" applyFont="1"/>
    <xf numFmtId="0" fontId="19" fillId="4" borderId="4" xfId="0" applyFont="1" applyFill="1" applyBorder="1" applyAlignment="1">
      <alignment horizontal="center" vertical="center" wrapText="1"/>
    </xf>
    <xf numFmtId="0" fontId="0" fillId="5" borderId="4" xfId="0" applyFill="1" applyBorder="1" applyAlignment="1">
      <alignment horizontal="center" vertical="center"/>
    </xf>
    <xf numFmtId="2" fontId="0" fillId="5" borderId="4" xfId="0" applyNumberFormat="1" applyFill="1" applyBorder="1" applyAlignment="1">
      <alignment horizontal="center" vertical="center" wrapText="1"/>
    </xf>
    <xf numFmtId="0" fontId="22" fillId="6" borderId="0" xfId="0" applyFont="1" applyFill="1"/>
    <xf numFmtId="0" fontId="23" fillId="4" borderId="4" xfId="0" applyFont="1" applyFill="1" applyBorder="1" applyAlignment="1">
      <alignment horizontal="center" vertical="center" wrapText="1"/>
    </xf>
    <xf numFmtId="0" fontId="24" fillId="5" borderId="4" xfId="0" applyFont="1" applyFill="1" applyBorder="1" applyAlignment="1">
      <alignment vertical="center" wrapText="1"/>
    </xf>
    <xf numFmtId="165" fontId="24" fillId="5" borderId="4" xfId="0" applyNumberFormat="1" applyFont="1" applyFill="1" applyBorder="1" applyAlignment="1">
      <alignment vertical="center" wrapText="1"/>
    </xf>
    <xf numFmtId="0" fontId="25" fillId="5" borderId="0" xfId="0" applyFont="1" applyFill="1" applyAlignment="1">
      <alignment wrapText="1"/>
    </xf>
    <xf numFmtId="0" fontId="22" fillId="4" borderId="4" xfId="0" applyFont="1" applyFill="1" applyBorder="1" applyAlignment="1">
      <alignment horizontal="center" wrapText="1"/>
    </xf>
    <xf numFmtId="165" fontId="24" fillId="7" borderId="4" xfId="0" applyNumberFormat="1" applyFont="1" applyFill="1" applyBorder="1" applyAlignment="1">
      <alignment vertical="center" wrapText="1"/>
    </xf>
    <xf numFmtId="1" fontId="24" fillId="7" borderId="4" xfId="0" applyNumberFormat="1" applyFont="1" applyFill="1" applyBorder="1" applyAlignment="1">
      <alignment vertical="center" wrapText="1"/>
    </xf>
    <xf numFmtId="0" fontId="26" fillId="4" borderId="4" xfId="0" applyFont="1" applyFill="1" applyBorder="1" applyAlignment="1">
      <alignment horizontal="center" wrapText="1"/>
    </xf>
    <xf numFmtId="0" fontId="27" fillId="5" borderId="0" xfId="0" applyFont="1" applyFill="1" applyAlignment="1">
      <alignment horizontal="center" wrapText="1"/>
    </xf>
    <xf numFmtId="0" fontId="24" fillId="5" borderId="4" xfId="0" applyFont="1" applyFill="1" applyBorder="1" applyAlignment="1">
      <alignment horizontal="center" vertical="center" wrapText="1"/>
    </xf>
    <xf numFmtId="165" fontId="24" fillId="7" borderId="4" xfId="0" applyNumberFormat="1" applyFont="1" applyFill="1" applyBorder="1" applyAlignment="1">
      <alignment horizontal="center" vertical="center" wrapText="1"/>
    </xf>
    <xf numFmtId="1" fontId="0" fillId="7" borderId="4" xfId="0" applyNumberFormat="1" applyFill="1" applyBorder="1"/>
    <xf numFmtId="2" fontId="24" fillId="7" borderId="4" xfId="0" applyNumberFormat="1" applyFont="1" applyFill="1" applyBorder="1"/>
    <xf numFmtId="0" fontId="31" fillId="4" borderId="5" xfId="0" applyFont="1" applyFill="1" applyBorder="1" applyAlignment="1">
      <alignment horizontal="center" vertical="center" wrapText="1"/>
    </xf>
    <xf numFmtId="0" fontId="0" fillId="0" borderId="5" xfId="0" applyBorder="1" applyAlignment="1">
      <alignment vertical="center" wrapText="1"/>
    </xf>
    <xf numFmtId="1" fontId="0" fillId="7" borderId="5" xfId="0" applyNumberFormat="1" applyFill="1" applyBorder="1" applyAlignment="1">
      <alignment vertical="center" wrapText="1"/>
    </xf>
    <xf numFmtId="0" fontId="0" fillId="7" borderId="5" xfId="0" applyFill="1" applyBorder="1" applyAlignment="1">
      <alignment vertical="center" wrapText="1"/>
    </xf>
    <xf numFmtId="0" fontId="33" fillId="4" borderId="5" xfId="0" applyFont="1" applyFill="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left" vertical="center" wrapText="1"/>
    </xf>
    <xf numFmtId="1" fontId="0" fillId="7" borderId="5" xfId="0" applyNumberFormat="1" applyFill="1" applyBorder="1" applyAlignment="1">
      <alignment horizontal="center" vertical="center" wrapText="1"/>
    </xf>
    <xf numFmtId="0" fontId="0" fillId="7" borderId="5" xfId="0" applyFill="1" applyBorder="1" applyAlignment="1">
      <alignment horizontal="left" vertical="center" wrapText="1"/>
    </xf>
    <xf numFmtId="0" fontId="34" fillId="3" borderId="5" xfId="0" applyFont="1" applyFill="1" applyBorder="1" applyAlignment="1">
      <alignment vertical="top" wrapText="1"/>
    </xf>
    <xf numFmtId="0" fontId="35" fillId="5" borderId="5" xfId="0" applyFont="1" applyFill="1" applyBorder="1" applyAlignment="1">
      <alignment vertical="top" wrapText="1"/>
    </xf>
    <xf numFmtId="0" fontId="32" fillId="0" borderId="0" xfId="0" applyFont="1" applyAlignment="1">
      <alignment vertical="center" wrapText="1"/>
    </xf>
    <xf numFmtId="0" fontId="0" fillId="9" borderId="5" xfId="0" applyFill="1" applyBorder="1" applyAlignment="1">
      <alignment vertical="top" wrapText="1"/>
    </xf>
    <xf numFmtId="0" fontId="0" fillId="5" borderId="6" xfId="0" applyFill="1" applyBorder="1" applyAlignment="1">
      <alignment vertical="top" wrapText="1"/>
    </xf>
    <xf numFmtId="165" fontId="0" fillId="7" borderId="5" xfId="0" applyNumberFormat="1" applyFill="1" applyBorder="1" applyAlignment="1">
      <alignment vertical="center" wrapText="1"/>
    </xf>
    <xf numFmtId="165" fontId="0" fillId="7" borderId="5" xfId="0" applyNumberFormat="1" applyFill="1" applyBorder="1" applyAlignment="1">
      <alignment horizontal="center" vertical="center"/>
    </xf>
    <xf numFmtId="165" fontId="0" fillId="7" borderId="5" xfId="0" applyNumberFormat="1" applyFill="1" applyBorder="1" applyAlignment="1">
      <alignment horizontal="center" vertical="center" wrapText="1"/>
    </xf>
    <xf numFmtId="11" fontId="0" fillId="7" borderId="5" xfId="0" applyNumberFormat="1" applyFill="1" applyBorder="1" applyAlignment="1">
      <alignment horizontal="center" vertical="center" wrapText="1"/>
    </xf>
    <xf numFmtId="0" fontId="0" fillId="5" borderId="7" xfId="0" applyFill="1" applyBorder="1" applyAlignment="1">
      <alignment horizontal="center" vertical="center"/>
    </xf>
    <xf numFmtId="175" fontId="0" fillId="7" borderId="5" xfId="0" applyNumberFormat="1" applyFill="1" applyBorder="1" applyAlignment="1">
      <alignment vertical="center" wrapText="1"/>
    </xf>
  </cellXfs>
  <cellStyles count="4">
    <cellStyle name="Hipertaut 2" xfId="1" xr:uid="{00000000-0005-0000-0000-000006000000}"/>
    <cellStyle name="Normal" xfId="0" builtinId="0"/>
    <cellStyle name="Normal 2" xfId="2" xr:uid="{00000000-0005-0000-0000-000007000000}"/>
    <cellStyle name="Persen 2" xfId="3" xr:uid="{00000000-0005-0000-0000-00000800000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7F6000"/>
      <rgbColor rgb="FF800080"/>
      <rgbColor rgb="FF156082"/>
      <rgbColor rgb="FFB7B7B7"/>
      <rgbColor rgb="FF8B8B8B"/>
      <rgbColor rgb="FF9999FF"/>
      <rgbColor rgb="FF993366"/>
      <rgbColor rgb="FFFFF2CC"/>
      <rgbColor rgb="FFD9EAF7"/>
      <rgbColor rgb="FF660066"/>
      <rgbColor rgb="FFFF8080"/>
      <rgbColor rgb="FF0066CC"/>
      <rgbColor rgb="FFCCCCCC"/>
      <rgbColor rgb="FF000080"/>
      <rgbColor rgb="FFFF00FF"/>
      <rgbColor rgb="FFFFFF00"/>
      <rgbColor rgb="FF00FFFF"/>
      <rgbColor rgb="FF800080"/>
      <rgbColor rgb="FF800000"/>
      <rgbColor rgb="FF008080"/>
      <rgbColor rgb="FF0000FF"/>
      <rgbColor rgb="FF00CCFF"/>
      <rgbColor rgb="FFFFFDF5"/>
      <rgbColor rgb="FFE2F0D9"/>
      <rgbColor rgb="FFFFE699"/>
      <rgbColor rgb="FFB7C9D6"/>
      <rgbColor rgb="FFFF99CC"/>
      <rgbColor rgb="FFD9D9D9"/>
      <rgbColor rgb="FFFFD966"/>
      <rgbColor rgb="FF3366FF"/>
      <rgbColor rgb="FF33CCCC"/>
      <rgbColor rgb="FF99CC00"/>
      <rgbColor rgb="FFFFCC00"/>
      <rgbColor rgb="FFFF9900"/>
      <rgbColor rgb="FFE97132"/>
      <rgbColor rgb="FF467886"/>
      <rgbColor rgb="FF969696"/>
      <rgbColor rgb="FF1F4E78"/>
      <rgbColor rgb="FF00B050"/>
      <rgbColor rgb="FF003300"/>
      <rgbColor rgb="FF1F1F1F"/>
      <rgbColor rgb="FF993300"/>
      <rgbColor rgb="FF993366"/>
      <rgbColor rgb="FF5B3F8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c:style val="2"/>
  <c:chart>
    <c:title>
      <c:tx>
        <c:rich>
          <a:bodyPr rot="0"/>
          <a:lstStyle/>
          <a:p>
            <a:pPr>
              <a:defRPr sz="1300" b="0" u="none" strike="noStrike">
                <a:uFillTx/>
                <a:latin typeface="Arial"/>
              </a:defRPr>
            </a:pPr>
            <a:r>
              <a:rPr lang="id-ID" sz="1800" b="1" u="none" strike="noStrike">
                <a:solidFill>
                  <a:srgbClr val="000000"/>
                </a:solidFill>
                <a:uFillTx/>
                <a:latin typeface="Calibri"/>
                <a:ea typeface="Calibri"/>
              </a:rPr>
              <a:t>Current vs Target Readiness</a:t>
            </a:r>
          </a:p>
        </c:rich>
      </c:tx>
      <c:overlay val="0"/>
      <c:spPr>
        <a:noFill/>
        <a:ln w="0">
          <a:noFill/>
        </a:ln>
      </c:spPr>
    </c:title>
    <c:autoTitleDeleted val="0"/>
    <c:plotArea>
      <c:layout/>
      <c:barChart>
        <c:barDir val="col"/>
        <c:grouping val="clustered"/>
        <c:varyColors val="0"/>
        <c:ser>
          <c:idx val="0"/>
          <c:order val="0"/>
          <c:tx>
            <c:v>Current (%)</c:v>
          </c:tx>
          <c:spPr>
            <a:solidFill>
              <a:srgbClr val="156082"/>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'06 Applicability Index_Gap'!$A$4:$A$11</c:f>
              <c:strCache>
                <c:ptCount val="8"/>
                <c:pt idx="0">
                  <c:v>Strategic alignment</c:v>
                </c:pt>
                <c:pt idx="1">
                  <c:v>IS/IT portfolio planning</c:v>
                </c:pt>
                <c:pt idx="2">
                  <c:v>Enterprise architecture blueprint</c:v>
                </c:pt>
                <c:pt idx="3">
                  <c:v>Governance objective mapping</c:v>
                </c:pt>
                <c:pt idx="4">
                  <c:v>Risk and control integration</c:v>
                </c:pt>
                <c:pt idx="5">
                  <c:v>Capability assessment</c:v>
                </c:pt>
                <c:pt idx="6">
                  <c:v>Performance measurement</c:v>
                </c:pt>
                <c:pt idx="7">
                  <c:v>Implementation roadmap</c:v>
                </c:pt>
              </c:strCache>
            </c:strRef>
          </c:cat>
          <c:val>
            <c:numRef>
              <c:f>'06 Applicability Index_Gap'!$B$4:$B$11</c:f>
              <c:numCache>
                <c:formatCode>0</c:formatCode>
                <c:ptCount val="8"/>
                <c:pt idx="0">
                  <c:v>78</c:v>
                </c:pt>
                <c:pt idx="1">
                  <c:v>75</c:v>
                </c:pt>
                <c:pt idx="2">
                  <c:v>72</c:v>
                </c:pt>
                <c:pt idx="3">
                  <c:v>69</c:v>
                </c:pt>
                <c:pt idx="4">
                  <c:v>66</c:v>
                </c:pt>
                <c:pt idx="5">
                  <c:v>70</c:v>
                </c:pt>
                <c:pt idx="6">
                  <c:v>68</c:v>
                </c:pt>
                <c:pt idx="7">
                  <c:v>73</c:v>
                </c:pt>
              </c:numCache>
            </c:numRef>
          </c:val>
          <c:extLst>
            <c:ext xmlns:c16="http://schemas.microsoft.com/office/drawing/2014/chart" uri="{C3380CC4-5D6E-409C-BE32-E72D297353CC}">
              <c16:uniqueId val="{00000000-150C-4295-9F48-BF27299FFCCE}"/>
            </c:ext>
          </c:extLst>
        </c:ser>
        <c:ser>
          <c:idx val="1"/>
          <c:order val="1"/>
          <c:tx>
            <c:v>Target (%)</c:v>
          </c:tx>
          <c:spPr>
            <a:solidFill>
              <a:srgbClr val="E97132"/>
            </a:solidFill>
            <a:ln w="0">
              <a:noFill/>
            </a:ln>
          </c:spPr>
          <c:invertIfNegative val="0"/>
          <c:dLbls>
            <c:spPr>
              <a:noFill/>
              <a:ln>
                <a:noFill/>
              </a:ln>
              <a:effectLst/>
            </c:spPr>
            <c:txPr>
              <a:bodyPr wrap="square"/>
              <a:lstStyle/>
              <a:p>
                <a:pPr>
                  <a:defRPr sz="1000" b="0" u="none" strike="noStrike">
                    <a:solidFill>
                      <a:srgbClr val="000000"/>
                    </a:solidFill>
                    <a:uFillTx/>
                    <a:latin typeface="Calibri"/>
                    <a:ea typeface="Calibri"/>
                  </a:defRPr>
                </a:pPr>
                <a:endParaRPr lang="id-ID"/>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'06 Applicability Index_Gap'!$A$4:$A$11</c:f>
              <c:strCache>
                <c:ptCount val="8"/>
                <c:pt idx="0">
                  <c:v>Strategic alignment</c:v>
                </c:pt>
                <c:pt idx="1">
                  <c:v>IS/IT portfolio planning</c:v>
                </c:pt>
                <c:pt idx="2">
                  <c:v>Enterprise architecture blueprint</c:v>
                </c:pt>
                <c:pt idx="3">
                  <c:v>Governance objective mapping</c:v>
                </c:pt>
                <c:pt idx="4">
                  <c:v>Risk and control integration</c:v>
                </c:pt>
                <c:pt idx="5">
                  <c:v>Capability assessment</c:v>
                </c:pt>
                <c:pt idx="6">
                  <c:v>Performance measurement</c:v>
                </c:pt>
                <c:pt idx="7">
                  <c:v>Implementation roadmap</c:v>
                </c:pt>
              </c:strCache>
            </c:strRef>
          </c:cat>
          <c:val>
            <c:numRef>
              <c:f>'06 Applicability Index_Gap'!$C$4:$C$11</c:f>
              <c:numCache>
                <c:formatCode>0</c:formatCode>
                <c:ptCount val="8"/>
                <c:pt idx="0">
                  <c:v>85</c:v>
                </c:pt>
                <c:pt idx="1">
                  <c:v>85</c:v>
                </c:pt>
                <c:pt idx="2">
                  <c:v>85</c:v>
                </c:pt>
                <c:pt idx="3">
                  <c:v>85</c:v>
                </c:pt>
                <c:pt idx="4">
                  <c:v>85</c:v>
                </c:pt>
                <c:pt idx="5">
                  <c:v>85</c:v>
                </c:pt>
                <c:pt idx="6">
                  <c:v>85</c:v>
                </c:pt>
                <c:pt idx="7">
                  <c:v>85</c:v>
                </c:pt>
              </c:numCache>
            </c:numRef>
          </c:val>
          <c:extLst>
            <c:ext xmlns:c16="http://schemas.microsoft.com/office/drawing/2014/chart" uri="{C3380CC4-5D6E-409C-BE32-E72D297353CC}">
              <c16:uniqueId val="{00000001-150C-4295-9F48-BF27299FFCCE}"/>
            </c:ext>
          </c:extLst>
        </c:ser>
        <c:dLbls>
          <c:showLegendKey val="0"/>
          <c:showVal val="0"/>
          <c:showCatName val="0"/>
          <c:showSerName val="0"/>
          <c:showPercent val="0"/>
          <c:showBubbleSize val="0"/>
        </c:dLbls>
        <c:gapWidth val="150"/>
        <c:axId val="24816342"/>
        <c:axId val="62008752"/>
      </c:barChart>
      <c:catAx>
        <c:axId val="2481634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endParaRPr lang="id-ID"/>
          </a:p>
        </c:txPr>
        <c:crossAx val="62008752"/>
        <c:crosses val="autoZero"/>
        <c:auto val="1"/>
        <c:lblAlgn val="ctr"/>
        <c:lblOffset val="100"/>
        <c:noMultiLvlLbl val="0"/>
      </c:catAx>
      <c:valAx>
        <c:axId val="62008752"/>
        <c:scaling>
          <c:orientation val="minMax"/>
        </c:scaling>
        <c:delete val="0"/>
        <c:axPos val="l"/>
        <c:majorGridlines>
          <c:spPr>
            <a:ln w="9360">
              <a:solidFill>
                <a:srgbClr val="CCCCCC"/>
              </a:solidFill>
              <a:prstDash val="dash"/>
              <a:round/>
            </a:ln>
          </c:spPr>
        </c:majorGridlines>
        <c:numFmt formatCode="0"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endParaRPr lang="id-ID"/>
          </a:p>
        </c:txPr>
        <c:crossAx val="24816342"/>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ea typeface="Calibri"/>
            </a:defRPr>
          </a:pPr>
          <a:endParaRPr lang="id-ID"/>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2</xdr:row>
      <xdr:rowOff>0</xdr:rowOff>
    </xdr:from>
    <xdr:to>
      <xdr:col>13</xdr:col>
      <xdr:colOff>609840</xdr:colOff>
      <xdr:row>17</xdr:row>
      <xdr:rowOff>189000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_245" displayName="Form_Responses_245" ref="A2:BM35" totalsRowCount="1">
  <autoFilter ref="A2:BM34" xr:uid="{00000000-0009-0000-0100-000001000000}">
    <filterColumn colId="49">
      <filters>
        <filter val="TRUE"/>
      </filters>
    </filterColumn>
  </autoFilter>
  <tableColumns count="65">
    <tableColumn id="1" xr3:uid="{00000000-0010-0000-0000-000001000000}" name="Timestamp"/>
    <tableColumn id="2" xr3:uid="{00000000-0010-0000-0000-000002000000}" name="1. Nama Lengkap"/>
    <tableColumn id="3" xr3:uid="{00000000-0010-0000-0000-000003000000}" name="Jenis Kelamin"/>
    <tableColumn id="4" xr3:uid="{00000000-0010-0000-0000-000004000000}" name="2. Pekerjaan Saat ini :"/>
    <tableColumn id="5" xr3:uid="{00000000-0010-0000-0000-000005000000}" name="3. Jenis Bidang Industri (berdasarkan KLBI)"/>
    <tableColumn id="6" xr3:uid="{00000000-0010-0000-0000-000006000000}" name="5.  No Kontak (Opsional) _x000a_kebutuhan pengiriman Ovo bila terpilih secara acak [08xxx]"/>
    <tableColumn id="7" xr3:uid="{00000000-0010-0000-0000-000007000000}" name="6. Bidang Keahlian"/>
    <tableColumn id="8" xr3:uid="{00000000-0010-0000-0000-000008000000}" name="6.A Keahlian Utama"/>
    <tableColumn id="9" xr3:uid="{00000000-0010-0000-0000-000009000000}" name="7. Pengalaman Profesional dibidang IT "/>
    <tableColumn id="10" xr3:uid="{00000000-0010-0000-0000-00000A000000}" name="8. Pengalaman dengan Framework"/>
    <tableColumn id="11" xr3:uid="{00000000-0010-0000-0000-00000B000000}" name="1.   Konsep framework perencanaan strategis TI terintegrasi yang dikembangkan dalam penelitian ini mudah dipahami._x000a__x000a_Jenis Pertanyaan: Linear scale (1–5) _x000a_Skala: 1 = Sangat Tidak Setuju  5 = Sangat Setuju"/>
    <tableColumn id="12" xr3:uid="{00000000-0010-0000-0000-00000C000000}" name="2.    Tujuan utama framework ini dijelaskan secara jelas dan sesuai dengan kebutuhan perencanaan strategis TI._x000a__x000a_Jenis Pertanyaan: Linear scale (1–5) _x000a_Skala: 1 = Sangat Tidak Setuju  5 = Sangat Setuju"/>
    <tableColumn id="13" xr3:uid="{00000000-0010-0000-0000-00000D000000}" name="3.   Ruang lingkup framework ini sudah tergambar dengan jelas, mencakup strategi SI/TI, enterprise architecture, tata kelola TI, risiko, dan pengukuran kinerja._x000a__x000a_Jenis Pertanyaan: Linear scale (1–5) _x000a_Skala: 1 = Sangat Tidak Setuju  5 = Sangat Setuju"/>
    <tableColumn id="14" xr3:uid="{00000000-0010-0000-0000-00000E000000}" name="4.   Hubungan antara masalah penelitian dan solusi framework yang dikembangkan sudah terlihat jelas._x000a__x000a_Jenis Pertanyaan: Linear scale (1–5) _x000a_Skala: 1 = Sangat Tidak Setuju  5 = Sangat Setuju"/>
    <tableColumn id="15" xr3:uid="{00000000-0010-0000-0000-00000F000000}" name="5.   Framework ini memiliki dasar pemikiran yang logis dalam mengintegrasikan Ward and Peppard, TOGAF, dan COBIT 2019._x000a__x000a_Jenis Pertanyaan: Linear scale (1–5) _x000a_Skala: 1 = Sangat Tidak Setuju  5 = Sangat Setuju"/>
    <tableColumn id="16" xr3:uid="{00000000-0010-0000-0000-000010000000}" name="1.   Komponen analisis strategis SI/TI dalam framework ini sudah memadai untuk mengidentifikasi kebutuhan organisasi_x000a__x000a_Jenis Pertanyaan: Linear scale (1–5) _x000a_Skala: 1 = Sangat Tidak Setuju  5 = Sangat Setuju"/>
    <tableColumn id="17" xr3:uid="{00000000-0010-0000-0000-000011000000}" name="2.    Komponen portofolio aplikasi dalam framework ini sudah memadai untuk menentukan prioritas aplikasi masa depan.  _x000a_Jenis Pertanyaan: Linear scale (1–5) _x000a_Skala: 1 = Sangat Tidak Setuju  5 = Sangat Setuju"/>
    <tableColumn id="18" xr3:uid="{00000000-0010-0000-0000-000012000000}" name="3.   Komponen enterprise architecture dalam framework ini sudah mencakup arsitektur bisnis, data, aplikasi, dan teknologi._x000a__x000a_Jenis Pertanyaan: Linear scale (1–5) _x000a_Skala: 1 = Sangat Tidak Setuju  5 = Sangat Setuju"/>
    <tableColumn id="19" xr3:uid="{00000000-0010-0000-0000-000013000000}" name="4.   Komponen tata kelola TI, capability assessment, risk control, dan performance measurement sudah tercakup dengan baik dalam framework ini._x000a__x000a_Jenis Pertanyaan: Linear scale (1–5) _x000a_Skala: 1 = Sangat Tidak Setuju  5 = Sangat Setuju"/>
    <tableColumn id="20" xr3:uid="{00000000-0010-0000-0000-000014000000}" name="5. Secara keseluruhan, komponen framework ini sudah lengkap untuk mendukung penyusunan IT Master Plan dan roadmap transformasi digital._x000a__x000a_Jenis Pertanyaan: Linear scale (1–5) _x000a_Skala: 1 = Sangat Tidak Setuju  5 = Sangat Setuju"/>
    <tableColumn id="21" xr3:uid="{00000000-0010-0000-0000-000015000000}" name="1.   Integrasi Ward and Peppard, TOGAF, dan COBIT 2019 dalam framework ini sudah sesuai dengan karakteristik masing-masing framework._x000a__x000a_Jenis Pertanyaan: Linear scale (1–5) _x000a_Skala: 1 = Sangat Tidak Setuju  5 = Sangat Setuju"/>
    <tableColumn id="22" xr3:uid="{00000000-0010-0000-0000-000016000000}" name="2.    Ward and Peppard sudah ditempatkan secara tepat sebagai dasar analisis dan formulasi strategi SI/TI._x000a_  _x000a_Jenis Pertanyaan: Linear scale (1–5) _x000a_Skala: 1 = Sangat Tidak Setuju  5 = Sangat Setuju"/>
    <tableColumn id="23" xr3:uid="{00000000-0010-0000-0000-000017000000}" name="3.   TOGAF sudah ditempatkan secara tepat sebagai dasar penyusunan enterprise architecture._x000a__x000a_Jenis Pertanyaan: Linear scale (1–5) _x000a_Skala: 1 = Sangat Tidak Setuju  5 = Sangat Setuju"/>
    <tableColumn id="24" xr3:uid="{00000000-0010-0000-0000-000018000000}" name="4.   COBIT 2019 sudah ditempatkan secara tepat sebagai dasar tata kelola, capability assessment, risiko, kontrol, dan pengukuran kinerja TI._x000a__x000a_Jenis Pertanyaan: Linear scale (1–5) _x000a_Skala: 1 = Sangat Tidak Setuju  5 = Sangat Setuju"/>
    <tableColumn id="25" xr3:uid="{00000000-0010-0000-0000-000019000000}" name="5.   Integrasi ketiga framework dalam model ini saling melengkapi dan tidak menimbulkan tumpang tindih fungsi yang berlebihan._x000a__x000a_Jenis Pertanyaan: Linear scale (1–5) _x000a_Skala: 1 = Sangat Tidak Setuju  5 = Sangat Setuju"/>
    <tableColumn id="26" xr3:uid="{00000000-0010-0000-0000-00001A000000}" name="1.  Indikator strategic alignment relevan untuk menilai keselarasan antara tujuan organisasi dan strategi TI._x000a__x000a_Jenis Pertanyaan: Linear scale (1–5) _x000a_Skala: 1 = Sangat Tidak Setuju  5 = Sangat Setuju"/>
    <tableColumn id="27" xr3:uid="{00000000-0010-0000-0000-00001B000000}" name="2.   Indikator IS/IT portfolio planning relevan untuk menilai prioritas aplikasi dan kebutuhan sistem informasi organisasi._x000a__x000a_Jenis Pertanyaan: Linear scale (1–5) _x000a_Skala: 1 = Sangat Tidak Setuju  5 = Sangat Setuju"/>
    <tableColumn id="28" xr3:uid="{00000000-0010-0000-0000-00001C000000}" name="3.   Indikator enterprise architecture blueprint relevan untuk menilai kelengkapan rancangan arsitektur bisnis, data, aplikasi, dan teknologi._x000a__x000a_Jenis Pertanyaan: Linear scale (1–5) _x000a_Skala: 1 = Sangat Tidak Setuju  5 = Sangat Setuju"/>
    <tableColumn id="29" xr3:uid="{00000000-0010-0000-0000-00001D000000}" name="4.   Indikator governance objective mapping, capability assessment, risk control, dan performance measurement relevan untuk menilai tata kelola dan kesiapan TI._x000a__x000a_Jenis Pertanyaan: Linear scale (1–5) _x000a_Skala: 1 = Sangat Tidak Setuju  5 = Sangat Setuju"/>
    <tableColumn id="30" xr3:uid="{00000000-0010-0000-0000-00001E000000}" name="5.   Secara keseluruhan, indikator dalam framework ini sudah sesuai untuk menilai kelayakan framework perencanaan strategis TI terintegrasi._x000a_  _x000a_Jenis Pertanyaan: Linear scale (1–5) _x000a_Skala: 1 = Sangat Tidak Setuju  5 = Sangat Setuju"/>
    <tableColumn id="31" xr3:uid="{00000000-0010-0000-0000-00001F000000}" name="1.  Alur framework dimulai dari analisis kebutuhan organisasi secara sistematis dan mudah diikuti._x000a__x000a_Jenis Pertanyaan: Linear scale (1–5) _x000a_Skala: 1 = Sangat Tidak Setuju  5 = Sangat Setuju"/>
    <tableColumn id="32" xr3:uid="{00000000-0010-0000-0000-000020000000}" name="2.  Alur framework mampu menghubungkan analisis kebutuhan organisasi dengan formulasi strategi SI/TI._x000a__x000a_Jenis Pertanyaan: Linear scale (1–5) _x000a_Skala: 1 = Sangat Tidak Setuju  5 = Sangat Setuju"/>
    <tableColumn id="33" xr3:uid="{00000000-0010-0000-0000-000021000000}" name="3.  Alur framework mampu menghubungkan strategi SI/TI dengan penyusunan portofolio aplikasi dan enterprise architecture._x000a__x000a_Jenis Pertanyaan: Linear scale (1–5) _x000a_Skala: 1 = Sangat Tidak Setuju  5 = Sangat Setuju"/>
    <tableColumn id="34" xr3:uid="{00000000-0010-0000-0000-000022000000}" name="4.  Alur framework mampu menghubungkan enterprise architecture dengan tata kelola TI, capability assessment, risk control, dan KPI._x000a__x000a_Jenis Pertanyaan: Linear scale (1–5) _x000a_Skala: 1 = Sangat Tidak Setuju  5 = Sangat Setuju"/>
    <tableColumn id="35" xr3:uid="{00000000-0010-0000-0000-000023000000}" name="5. Setiap tahapan framework memiliki hubungan input, proses, dan output yang jelas._x000a__x000a_Jenis Pertanyaan: Linear scale (1–5) _x000a_Skala: 1 = Sangat Tidak Setuju  5 = Sangat Setuju"/>
    <tableColumn id="36" xr3:uid="{00000000-0010-0000-0000-000024000000}" name="1.  Framework ini berpotensi diterapkan pada organisasi yang membutuhkan perencanaan strategis TI._x000a__x000a_Jenis Pertanyaan: Linear scale (1–5) _x000a_Skala: 1 = Sangat Tidak Setuju  5 = Sangat Setuju"/>
    <tableColumn id="37" xr3:uid="{00000000-0010-0000-0000-000025000000}" name="2.  Framework ini dapat digunakan untuk mendukung penyusunan IT Master Plan organisasi._x000a__x000a_Jenis Pertanyaan: Linear scale (1–5) _x000a_Skala: 1 = Sangat Tidak Setuju  5 = Sangat Setuju"/>
    <tableColumn id="38" xr3:uid="{00000000-0010-0000-0000-000026000000}" name="3.  Framework ini dapat digunakan untuk mendukung penyusunan roadmap transformasi digital dan blueprint enterprise architecture._x000a__x000a_Jenis Pertanyaan: Linear scale (1–5) _x000a_Skala: 1 = Sangat Tidak Setuju  5 = Sangat Setuju"/>
    <tableColumn id="39" xr3:uid="{00000000-0010-0000-0000-000027000000}" name="4.  Framework ini dapat membantu organisasi menentukan prioritas program, proyek, dan investasi TI._x000a__x000a_Jenis Pertanyaan: Linear scale (1–5) _x000a_Skala: 1 = Sangat Tidak Setuju  5 = Sangat Setuju"/>
    <tableColumn id="40" xr3:uid="{00000000-0010-0000-0000-000028000000}" name="5.  Framework ini cukup praktis untuk digunakan oleh tim perencana TI, manajemen TI, auditor TI, atau konsultan TI._x000a__x000a_Jenis Pertanyaan: Linear scale (1–5) _x000a_Skala: 1 = Sangat Tidak Setuju  5 = Sangat Setuju"/>
    <tableColumn id="41" xr3:uid="{00000000-0010-0000-0000-000029000000}" name="1.  Output berupa strategi SI/TI dalam framework ini sudah jelas dan mudah dipahami._x000a__x000a_Jenis Pertanyaan: Linear scale (1–5) _x000a_Skala: 1 = Sangat Tidak Setuju  5 = Sangat Setuju"/>
    <tableColumn id="42" xr3:uid="{00000000-0010-0000-0000-00002A000000}" name="2.  Output berupa portofolio aplikasi dan prioritas aplikasi sudah jelas untuk mendukung kebutuhan organisasi._x000a__x000a_Jenis Pertanyaan: Linear scale (1–5) _x000a_Skala: 1 = Sangat Tidak Setuju  5 = Sangat Setuju"/>
    <tableColumn id="43" xr3:uid="{00000000-0010-0000-0000-00002B000000}" name="3.  Output berupa blueprint enterprise architecture sudah jelas dan mencakup arsitektur bisnis, data, aplikasi, dan teknologi._x000a__x000a_Jenis Pertanyaan: Linear scale (1–5) _x000a_Skala: 1 = Sangat Tidak Setuju  5 = Sangat Setuju"/>
    <tableColumn id="44" xr3:uid="{00000000-0010-0000-0000-00002C000000}" name="4.  Output berupa governance objectives, capability level, risk register, control mapping, dan KPI sudah jelas untuk mendukung tata kelola TI._x000a__x000a_Jenis Pertanyaan: Linear scale (1–5) _x000a_Skala: 1 = Sangat Tidak Setuju  5 = Sangat Setuju"/>
    <tableColumn id="45" xr3:uid="{00000000-0010-0000-0000-00002D000000}" name="5.  Secara keseluruhan, output framework ini dapat digunakan sebagai dasar penyusunan dokumen perencanaan strategis TI organisasi._x000a__x000a_Jenis Pertanyaan: Linear scale (1–5) _x000a_Skala: 1 = Sangat Tidak Setuju  5 = Sangat Setuju"/>
    <tableColumn id="46" xr3:uid="{00000000-0010-0000-0000-00002E000000}" name="1.  Apakah menurut Anda model Integrasi Perencanaan Strategis TI sudah menggambarkan hubungan logis antara strategi, arsitektur, dan tata kelola TI? "/>
    <tableColumn id="47" xr3:uid="{00000000-0010-0000-0000-00002F000000}" name="2.  Komponen mana yang menurut Anda perlu diperbaiki atau disempurnakan? "/>
    <tableColumn id="48" xr3:uid="{00000000-0010-0000-0000-000030000000}" name="3.  Apakah framework ini dapat diterapkan di konteks organisasi Anda? Mengapa? "/>
    <tableColumn id="49" xr3:uid="{00000000-0010-0000-0000-000031000000}" name="4.  Saran tambahan untuk pengembangan model Integrasi Perencanaan Strategis TI di masa mendatang: "/>
    <tableColumn id="50" xr3:uid="{00000000-0010-0000-0000-000032000000}" name="Filter 1 (Rekomendasi sebagai Praktisi &amp; Akademisi)  terkait Perencanaan strategis TI "/>
    <tableColumn id="51" xr3:uid="{00000000-0010-0000-0000-000033000000}" name="Fiilter ke 2 , berdasarkan perencanaan strategis TI"/>
    <tableColumn id="52" xr3:uid="{00000000-0010-0000-0000-000034000000}" name="Rata-2 Faktor A"/>
    <tableColumn id="53" xr3:uid="{00000000-0010-0000-0000-000035000000}" name="Rata-2 Faktor B"/>
    <tableColumn id="54" xr3:uid="{00000000-0010-0000-0000-000036000000}" name="Rata-2 Faktor C"/>
    <tableColumn id="55" xr3:uid="{00000000-0010-0000-0000-000037000000}" name="Rata-2 Faktor D"/>
    <tableColumn id="56" xr3:uid="{00000000-0010-0000-0000-000038000000}" name="Rata-2 Faktor E"/>
    <tableColumn id="57" xr3:uid="{00000000-0010-0000-0000-000039000000}" name="Rata-2 Faktor F"/>
    <tableColumn id="58" xr3:uid="{00000000-0010-0000-0000-00003A000000}" name="Rata-2 Faktor G"/>
    <tableColumn id="59" xr3:uid="{00000000-0010-0000-0000-00003B000000}" name="Kategori Relevan  Faktor A"/>
    <tableColumn id="60" xr3:uid="{00000000-0010-0000-0000-00003C000000}" name="Kategori Relevan  Faktor B"/>
    <tableColumn id="61" xr3:uid="{00000000-0010-0000-0000-00003D000000}" name="Kategori Relevan  Faktor C"/>
    <tableColumn id="62" xr3:uid="{00000000-0010-0000-0000-00003E000000}" name="Kategori Relevan  Faktor D"/>
    <tableColumn id="63" xr3:uid="{00000000-0010-0000-0000-00003F000000}" name="Kategori Relevan  Faktor E"/>
    <tableColumn id="64" xr3:uid="{00000000-0010-0000-0000-000040000000}" name="Kategori Relevan  Faktor F"/>
    <tableColumn id="65" xr3:uid="{00000000-0010-0000-0000-000041000000}" name="Kategori Relevan  Faktor G"/>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heetPr>
  <dimension ref="A1:BM89"/>
  <sheetViews>
    <sheetView showGridLines="0" zoomScale="115" zoomScaleNormal="115" workbookViewId="0">
      <pane xSplit="20865" ySplit="1995" topLeftCell="BB31" activePane="bottomLeft"/>
      <selection pane="topRight" activeCell="BB1" sqref="BB1"/>
      <selection pane="bottomLeft" activeCell="F5" sqref="F5"/>
      <selection pane="bottomRight" activeCell="BB31" sqref="BB31"/>
    </sheetView>
  </sheetViews>
  <sheetFormatPr defaultColWidth="11" defaultRowHeight="15.75" customHeight="1"/>
  <cols>
    <col min="1" max="1" width="15.28515625" style="10" customWidth="1"/>
    <col min="2" max="2" width="21.140625" style="10" customWidth="1"/>
    <col min="3" max="3" width="13.140625" style="10" customWidth="1"/>
    <col min="4" max="4" width="18.28515625" style="10" customWidth="1"/>
    <col min="5" max="5" width="23.7109375" style="10" customWidth="1"/>
    <col min="6" max="6" width="20.42578125" style="10" customWidth="1"/>
    <col min="7" max="7" width="19.140625" style="10" customWidth="1"/>
    <col min="8" max="8" width="26" style="10" customWidth="1"/>
    <col min="9" max="9" width="13.7109375" style="10" customWidth="1"/>
    <col min="10" max="10" width="32" style="10" customWidth="1"/>
    <col min="11" max="11" width="21" style="10" customWidth="1"/>
    <col min="12" max="49" width="32.85546875" style="10" customWidth="1"/>
    <col min="50" max="55" width="16.42578125" style="10" customWidth="1"/>
    <col min="56" max="56" width="14.5703125" style="10" customWidth="1"/>
    <col min="57" max="57" width="13.42578125" style="10" customWidth="1"/>
    <col min="58" max="58" width="13" style="10" customWidth="1"/>
    <col min="59" max="16384" width="11" style="10"/>
  </cols>
  <sheetData>
    <row r="1" spans="1:65" ht="15.75" customHeight="1">
      <c r="K1" s="11" t="s">
        <v>0</v>
      </c>
      <c r="P1" s="11" t="s">
        <v>1</v>
      </c>
      <c r="U1" s="11" t="s">
        <v>2</v>
      </c>
      <c r="Z1" s="11" t="s">
        <v>3</v>
      </c>
      <c r="AE1" s="11" t="s">
        <v>4</v>
      </c>
      <c r="AJ1" s="11" t="s">
        <v>5</v>
      </c>
      <c r="AO1" s="11" t="s">
        <v>6</v>
      </c>
      <c r="AP1" s="11"/>
      <c r="AQ1" s="11"/>
      <c r="AR1" s="11"/>
    </row>
    <row r="2" spans="1:65" s="15" customFormat="1" ht="72" customHeight="1">
      <c r="A2" s="12" t="s">
        <v>7</v>
      </c>
      <c r="B2" s="12" t="s">
        <v>8</v>
      </c>
      <c r="C2" s="13" t="s">
        <v>9</v>
      </c>
      <c r="D2" s="13" t="s">
        <v>10</v>
      </c>
      <c r="E2" s="13" t="s">
        <v>11</v>
      </c>
      <c r="F2" s="12" t="s">
        <v>12</v>
      </c>
      <c r="G2" s="12" t="s">
        <v>13</v>
      </c>
      <c r="H2" s="12" t="s">
        <v>14</v>
      </c>
      <c r="I2" s="13" t="s">
        <v>15</v>
      </c>
      <c r="J2" s="12" t="s">
        <v>16</v>
      </c>
      <c r="K2" s="12" t="s">
        <v>17</v>
      </c>
      <c r="L2" s="12" t="s">
        <v>18</v>
      </c>
      <c r="M2" s="12" t="s">
        <v>19</v>
      </c>
      <c r="N2" s="12" t="s">
        <v>20</v>
      </c>
      <c r="O2" s="12" t="s">
        <v>21</v>
      </c>
      <c r="P2" s="12" t="s">
        <v>22</v>
      </c>
      <c r="Q2" s="12" t="s">
        <v>23</v>
      </c>
      <c r="R2" s="12" t="s">
        <v>24</v>
      </c>
      <c r="S2" s="12" t="s">
        <v>25</v>
      </c>
      <c r="T2" s="12" t="s">
        <v>26</v>
      </c>
      <c r="U2" s="12" t="s">
        <v>27</v>
      </c>
      <c r="V2" s="12" t="s">
        <v>28</v>
      </c>
      <c r="W2" s="12" t="s">
        <v>29</v>
      </c>
      <c r="X2" s="12" t="s">
        <v>30</v>
      </c>
      <c r="Y2" s="12" t="s">
        <v>31</v>
      </c>
      <c r="Z2" s="12" t="s">
        <v>32</v>
      </c>
      <c r="AA2" s="12" t="s">
        <v>33</v>
      </c>
      <c r="AB2" s="12" t="s">
        <v>34</v>
      </c>
      <c r="AC2" s="12" t="s">
        <v>35</v>
      </c>
      <c r="AD2" s="12" t="s">
        <v>36</v>
      </c>
      <c r="AE2" s="12" t="s">
        <v>37</v>
      </c>
      <c r="AF2" s="12" t="s">
        <v>38</v>
      </c>
      <c r="AG2" s="12" t="s">
        <v>39</v>
      </c>
      <c r="AH2" s="12" t="s">
        <v>40</v>
      </c>
      <c r="AI2" s="12" t="s">
        <v>41</v>
      </c>
      <c r="AJ2" s="12" t="s">
        <v>42</v>
      </c>
      <c r="AK2" s="12" t="s">
        <v>43</v>
      </c>
      <c r="AL2" s="12" t="s">
        <v>44</v>
      </c>
      <c r="AM2" s="12" t="s">
        <v>45</v>
      </c>
      <c r="AN2" s="12" t="s">
        <v>46</v>
      </c>
      <c r="AO2" s="12" t="s">
        <v>47</v>
      </c>
      <c r="AP2" s="12" t="s">
        <v>48</v>
      </c>
      <c r="AQ2" s="12" t="s">
        <v>49</v>
      </c>
      <c r="AR2" s="12" t="s">
        <v>50</v>
      </c>
      <c r="AS2" s="12" t="s">
        <v>51</v>
      </c>
      <c r="AT2" s="12" t="s">
        <v>52</v>
      </c>
      <c r="AU2" s="12" t="s">
        <v>53</v>
      </c>
      <c r="AV2" s="12" t="s">
        <v>54</v>
      </c>
      <c r="AW2" s="12" t="s">
        <v>55</v>
      </c>
      <c r="AX2" s="14" t="s">
        <v>56</v>
      </c>
      <c r="AY2" s="15" t="s">
        <v>57</v>
      </c>
      <c r="AZ2" s="16" t="s">
        <v>58</v>
      </c>
      <c r="BA2" s="16" t="s">
        <v>59</v>
      </c>
      <c r="BB2" s="16" t="s">
        <v>60</v>
      </c>
      <c r="BC2" s="16" t="s">
        <v>61</v>
      </c>
      <c r="BD2" s="16" t="s">
        <v>62</v>
      </c>
      <c r="BE2" s="16" t="s">
        <v>63</v>
      </c>
      <c r="BF2" s="16" t="s">
        <v>64</v>
      </c>
      <c r="BG2" s="16" t="s">
        <v>65</v>
      </c>
      <c r="BH2" s="16" t="s">
        <v>66</v>
      </c>
      <c r="BI2" s="16" t="s">
        <v>67</v>
      </c>
      <c r="BJ2" s="16" t="s">
        <v>68</v>
      </c>
      <c r="BK2" s="16" t="s">
        <v>69</v>
      </c>
      <c r="BL2" s="16" t="s">
        <v>70</v>
      </c>
      <c r="BM2" s="16" t="s">
        <v>71</v>
      </c>
    </row>
    <row r="3" spans="1:65" s="21" customFormat="1" ht="22.5" hidden="1" customHeight="1">
      <c r="A3" s="12"/>
      <c r="B3" s="12"/>
      <c r="C3" s="17"/>
      <c r="D3" s="13"/>
      <c r="E3" s="13"/>
      <c r="F3" s="12"/>
      <c r="G3" s="12"/>
      <c r="H3" s="12"/>
      <c r="I3" s="13"/>
      <c r="J3" s="12"/>
      <c r="K3" s="18" t="s">
        <v>72</v>
      </c>
      <c r="L3" s="18"/>
      <c r="M3" s="19"/>
      <c r="N3" s="19"/>
      <c r="O3" s="19"/>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20" t="b">
        <f>FALSE()</f>
        <v>0</v>
      </c>
      <c r="AY3" s="15"/>
      <c r="AZ3" s="21" t="e">
        <f t="shared" ref="AZ3:AZ34" si="0">AVERAGE(K3:O3)</f>
        <v>#DIV/0!</v>
      </c>
      <c r="BG3" s="21" t="e">
        <f t="shared" ref="BG3:BG34" si="1">IF(AZ3&gt;=4,1,0)</f>
        <v>#DIV/0!</v>
      </c>
    </row>
    <row r="4" spans="1:65" s="24" customFormat="1" ht="22.5" hidden="1" customHeight="1">
      <c r="A4" s="19"/>
      <c r="B4" s="19"/>
      <c r="C4" s="17"/>
      <c r="D4" s="22"/>
      <c r="E4" s="22"/>
      <c r="F4" s="19"/>
      <c r="G4" s="19"/>
      <c r="H4" s="19"/>
      <c r="I4" s="22"/>
      <c r="J4" s="19"/>
      <c r="K4" s="19">
        <v>1</v>
      </c>
      <c r="L4" s="19">
        <v>2</v>
      </c>
      <c r="M4" s="19">
        <v>3</v>
      </c>
      <c r="N4" s="19">
        <v>4</v>
      </c>
      <c r="O4" s="19">
        <v>5</v>
      </c>
      <c r="P4" s="19">
        <v>1</v>
      </c>
      <c r="Q4" s="19">
        <v>2</v>
      </c>
      <c r="R4" s="19">
        <v>3</v>
      </c>
      <c r="S4" s="19">
        <v>4</v>
      </c>
      <c r="T4" s="19">
        <v>5</v>
      </c>
      <c r="U4" s="19">
        <v>1</v>
      </c>
      <c r="V4" s="19">
        <v>2</v>
      </c>
      <c r="W4" s="19">
        <v>3</v>
      </c>
      <c r="X4" s="19">
        <v>4</v>
      </c>
      <c r="Y4" s="19">
        <v>5</v>
      </c>
      <c r="Z4" s="19">
        <v>1</v>
      </c>
      <c r="AA4" s="19">
        <v>2</v>
      </c>
      <c r="AB4" s="19">
        <v>3</v>
      </c>
      <c r="AC4" s="19">
        <v>4</v>
      </c>
      <c r="AD4" s="19">
        <v>5</v>
      </c>
      <c r="AE4" s="19"/>
      <c r="AF4" s="19"/>
      <c r="AG4" s="19"/>
      <c r="AH4" s="19"/>
      <c r="AI4" s="19"/>
      <c r="AJ4" s="19"/>
      <c r="AK4" s="19"/>
      <c r="AL4" s="19"/>
      <c r="AM4" s="19"/>
      <c r="AN4" s="19"/>
      <c r="AO4" s="19"/>
      <c r="AP4" s="19"/>
      <c r="AQ4" s="19"/>
      <c r="AR4" s="19"/>
      <c r="AS4" s="19"/>
      <c r="AT4" s="19"/>
      <c r="AU4" s="19"/>
      <c r="AV4" s="19"/>
      <c r="AW4" s="19"/>
      <c r="AX4" s="20" t="b">
        <f>FALSE()</f>
        <v>0</v>
      </c>
      <c r="AY4" s="23"/>
      <c r="AZ4" s="24">
        <f t="shared" si="0"/>
        <v>3</v>
      </c>
      <c r="BG4" s="24">
        <f t="shared" si="1"/>
        <v>0</v>
      </c>
    </row>
    <row r="5" spans="1:65" s="23" customFormat="1" ht="22.5" customHeight="1">
      <c r="A5" s="25">
        <v>46077.400668877301</v>
      </c>
      <c r="B5" s="20" t="s">
        <v>73</v>
      </c>
      <c r="C5" s="20" t="s">
        <v>74</v>
      </c>
      <c r="D5" s="20" t="s">
        <v>75</v>
      </c>
      <c r="E5" s="20" t="s">
        <v>76</v>
      </c>
      <c r="F5" s="20"/>
      <c r="G5" s="20" t="s">
        <v>77</v>
      </c>
      <c r="H5" s="20" t="s">
        <v>78</v>
      </c>
      <c r="I5" s="20" t="s">
        <v>79</v>
      </c>
      <c r="J5" s="20" t="s">
        <v>80</v>
      </c>
      <c r="K5" s="20">
        <v>5</v>
      </c>
      <c r="L5" s="20">
        <v>5</v>
      </c>
      <c r="M5" s="20">
        <v>5</v>
      </c>
      <c r="N5" s="20">
        <v>5</v>
      </c>
      <c r="O5" s="20">
        <v>5</v>
      </c>
      <c r="P5" s="20">
        <v>5</v>
      </c>
      <c r="Q5" s="20">
        <v>5</v>
      </c>
      <c r="R5" s="20">
        <v>5</v>
      </c>
      <c r="S5" s="20">
        <v>5</v>
      </c>
      <c r="T5" s="20">
        <v>5</v>
      </c>
      <c r="U5" s="20">
        <v>5</v>
      </c>
      <c r="V5" s="20">
        <v>5</v>
      </c>
      <c r="W5" s="20">
        <v>5</v>
      </c>
      <c r="X5" s="20">
        <v>5</v>
      </c>
      <c r="Y5" s="20">
        <v>5</v>
      </c>
      <c r="Z5" s="20">
        <v>5</v>
      </c>
      <c r="AA5" s="20">
        <v>5</v>
      </c>
      <c r="AB5" s="20">
        <v>5</v>
      </c>
      <c r="AC5" s="20">
        <v>5</v>
      </c>
      <c r="AD5" s="20">
        <v>5</v>
      </c>
      <c r="AE5" s="20">
        <v>4</v>
      </c>
      <c r="AF5" s="20">
        <v>5</v>
      </c>
      <c r="AG5" s="20">
        <v>5</v>
      </c>
      <c r="AH5" s="20">
        <v>5</v>
      </c>
      <c r="AI5" s="20">
        <v>5</v>
      </c>
      <c r="AJ5" s="20">
        <v>5</v>
      </c>
      <c r="AK5" s="20">
        <v>4</v>
      </c>
      <c r="AL5" s="20">
        <v>5</v>
      </c>
      <c r="AM5" s="20">
        <v>5</v>
      </c>
      <c r="AN5" s="20">
        <v>5</v>
      </c>
      <c r="AO5" s="20">
        <v>5</v>
      </c>
      <c r="AP5" s="20">
        <v>5</v>
      </c>
      <c r="AQ5" s="20">
        <v>4</v>
      </c>
      <c r="AR5" s="20"/>
      <c r="AS5" s="20"/>
      <c r="AT5" s="20" t="s">
        <v>81</v>
      </c>
      <c r="AU5" s="20" t="s">
        <v>82</v>
      </c>
      <c r="AV5" s="20" t="s">
        <v>83</v>
      </c>
      <c r="AW5" s="20" t="s">
        <v>84</v>
      </c>
      <c r="AX5" s="20" t="b">
        <f>TRUE()</f>
        <v>1</v>
      </c>
      <c r="AY5" s="20" t="b">
        <f>FALSE()</f>
        <v>0</v>
      </c>
      <c r="AZ5" s="26">
        <f t="shared" si="0"/>
        <v>5</v>
      </c>
      <c r="BA5" s="26">
        <f>AVERAGE(P5:T5)</f>
        <v>5</v>
      </c>
      <c r="BB5" s="26">
        <f>AVERAGE(U5:Y5)</f>
        <v>5</v>
      </c>
      <c r="BC5" s="26">
        <f>AVERAGE(Z5:AD5)</f>
        <v>5</v>
      </c>
      <c r="BD5" s="26">
        <f>AVERAGE(AE5:AI5)</f>
        <v>4.8</v>
      </c>
      <c r="BE5" s="26">
        <f>AVERAGE(AJ5:AN5)</f>
        <v>4.8</v>
      </c>
      <c r="BF5" s="26">
        <f>AVERAGE(AO5:AS5)</f>
        <v>4.666666666666667</v>
      </c>
      <c r="BG5" s="23">
        <f t="shared" si="1"/>
        <v>1</v>
      </c>
      <c r="BH5" s="23">
        <f t="shared" ref="BH5:BM5" si="2">IF(BA5&gt;=4,1,0)</f>
        <v>1</v>
      </c>
      <c r="BI5" s="23">
        <f t="shared" si="2"/>
        <v>1</v>
      </c>
      <c r="BJ5" s="23">
        <f t="shared" si="2"/>
        <v>1</v>
      </c>
      <c r="BK5" s="23">
        <f t="shared" si="2"/>
        <v>1</v>
      </c>
      <c r="BL5" s="23">
        <f t="shared" si="2"/>
        <v>1</v>
      </c>
      <c r="BM5" s="23">
        <f t="shared" si="2"/>
        <v>1</v>
      </c>
    </row>
    <row r="6" spans="1:65" s="29" customFormat="1" ht="22.5" hidden="1" customHeight="1">
      <c r="A6" s="27">
        <v>46077.402485636601</v>
      </c>
      <c r="B6" s="28" t="s">
        <v>85</v>
      </c>
      <c r="C6" s="28" t="s">
        <v>74</v>
      </c>
      <c r="D6" s="28" t="s">
        <v>86</v>
      </c>
      <c r="E6" s="28" t="s">
        <v>87</v>
      </c>
      <c r="F6" s="28" t="s">
        <v>88</v>
      </c>
      <c r="G6" s="28" t="s">
        <v>89</v>
      </c>
      <c r="H6" s="28"/>
      <c r="I6" s="28" t="s">
        <v>90</v>
      </c>
      <c r="J6" s="28" t="s">
        <v>91</v>
      </c>
      <c r="K6" s="28">
        <v>5</v>
      </c>
      <c r="L6" s="28">
        <v>5</v>
      </c>
      <c r="M6" s="28">
        <v>4</v>
      </c>
      <c r="N6" s="28">
        <v>5</v>
      </c>
      <c r="O6" s="28">
        <v>4</v>
      </c>
      <c r="P6" s="28">
        <v>5</v>
      </c>
      <c r="Q6" s="28">
        <v>5</v>
      </c>
      <c r="R6" s="28">
        <v>4</v>
      </c>
      <c r="S6" s="28">
        <v>5</v>
      </c>
      <c r="T6" s="28">
        <v>4</v>
      </c>
      <c r="U6" s="28">
        <v>5</v>
      </c>
      <c r="V6" s="28">
        <v>5</v>
      </c>
      <c r="W6" s="28">
        <v>4</v>
      </c>
      <c r="X6" s="28">
        <v>5</v>
      </c>
      <c r="Y6" s="28">
        <v>5</v>
      </c>
      <c r="Z6" s="28">
        <v>3</v>
      </c>
      <c r="AA6" s="28">
        <v>4</v>
      </c>
      <c r="AB6" s="28">
        <v>4</v>
      </c>
      <c r="AC6" s="28">
        <v>4</v>
      </c>
      <c r="AD6" s="28">
        <v>4</v>
      </c>
      <c r="AE6" s="28"/>
      <c r="AF6" s="20">
        <v>5</v>
      </c>
      <c r="AG6" s="20">
        <v>5</v>
      </c>
      <c r="AH6" s="20">
        <v>5</v>
      </c>
      <c r="AI6" s="20">
        <v>5</v>
      </c>
      <c r="AJ6" s="20">
        <v>5</v>
      </c>
      <c r="AK6" s="20">
        <v>4</v>
      </c>
      <c r="AL6" s="20">
        <v>5</v>
      </c>
      <c r="AM6" s="20">
        <v>5</v>
      </c>
      <c r="AN6" s="20">
        <v>5</v>
      </c>
      <c r="AO6" s="20">
        <v>5</v>
      </c>
      <c r="AP6" s="20">
        <v>5</v>
      </c>
      <c r="AQ6" s="20">
        <v>4</v>
      </c>
      <c r="AR6" s="28"/>
      <c r="AS6" s="28"/>
      <c r="AT6" s="28" t="s">
        <v>92</v>
      </c>
      <c r="AU6" s="28" t="s">
        <v>93</v>
      </c>
      <c r="AV6" s="28" t="s">
        <v>94</v>
      </c>
      <c r="AW6" s="28" t="s">
        <v>95</v>
      </c>
      <c r="AX6" s="28" t="b">
        <f>FALSE()</f>
        <v>0</v>
      </c>
      <c r="AY6" s="28" t="b">
        <f>TRUE()</f>
        <v>1</v>
      </c>
      <c r="AZ6" s="29">
        <f t="shared" si="0"/>
        <v>4.5999999999999996</v>
      </c>
      <c r="BG6" s="29">
        <f t="shared" si="1"/>
        <v>1</v>
      </c>
    </row>
    <row r="7" spans="1:65" s="24" customFormat="1" ht="22.5" hidden="1" customHeight="1">
      <c r="A7" s="30">
        <v>46077.402874143503</v>
      </c>
      <c r="B7" s="31" t="s">
        <v>96</v>
      </c>
      <c r="C7" s="31" t="s">
        <v>97</v>
      </c>
      <c r="D7" s="31" t="s">
        <v>98</v>
      </c>
      <c r="E7" s="31" t="s">
        <v>99</v>
      </c>
      <c r="F7" s="31" t="s">
        <v>100</v>
      </c>
      <c r="G7" s="31" t="s">
        <v>101</v>
      </c>
      <c r="H7" s="31"/>
      <c r="I7" s="31" t="s">
        <v>102</v>
      </c>
      <c r="J7" s="31" t="s">
        <v>103</v>
      </c>
      <c r="K7" s="31">
        <v>5</v>
      </c>
      <c r="L7" s="31">
        <v>4</v>
      </c>
      <c r="M7" s="31">
        <v>5</v>
      </c>
      <c r="N7" s="31">
        <v>4</v>
      </c>
      <c r="O7" s="31">
        <v>5</v>
      </c>
      <c r="P7" s="31">
        <v>4</v>
      </c>
      <c r="Q7" s="31">
        <v>4</v>
      </c>
      <c r="R7" s="31">
        <v>4</v>
      </c>
      <c r="S7" s="31">
        <v>5</v>
      </c>
      <c r="T7" s="31">
        <v>5</v>
      </c>
      <c r="U7" s="31">
        <v>5</v>
      </c>
      <c r="V7" s="31">
        <v>5</v>
      </c>
      <c r="W7" s="31">
        <v>5</v>
      </c>
      <c r="X7" s="31">
        <v>5</v>
      </c>
      <c r="Y7" s="31">
        <v>5</v>
      </c>
      <c r="Z7" s="31">
        <v>4</v>
      </c>
      <c r="AA7" s="31">
        <v>4</v>
      </c>
      <c r="AB7" s="31">
        <v>4</v>
      </c>
      <c r="AC7" s="31">
        <v>4</v>
      </c>
      <c r="AD7" s="31">
        <v>4</v>
      </c>
      <c r="AE7" s="31"/>
      <c r="AF7" s="20">
        <v>4</v>
      </c>
      <c r="AG7" s="20">
        <v>3</v>
      </c>
      <c r="AH7" s="20">
        <v>4</v>
      </c>
      <c r="AI7" s="20">
        <v>4</v>
      </c>
      <c r="AJ7" s="20">
        <v>4</v>
      </c>
      <c r="AK7" s="20">
        <v>4</v>
      </c>
      <c r="AL7" s="20">
        <v>4</v>
      </c>
      <c r="AM7" s="20">
        <v>3</v>
      </c>
      <c r="AN7" s="20">
        <v>4</v>
      </c>
      <c r="AO7" s="20">
        <v>4</v>
      </c>
      <c r="AP7" s="20">
        <v>4</v>
      </c>
      <c r="AQ7" s="20">
        <v>4</v>
      </c>
      <c r="AR7" s="31"/>
      <c r="AS7" s="31"/>
      <c r="AT7" s="31" t="s">
        <v>104</v>
      </c>
      <c r="AU7" s="31" t="s">
        <v>105</v>
      </c>
      <c r="AV7" s="31" t="s">
        <v>106</v>
      </c>
      <c r="AW7" s="31" t="s">
        <v>107</v>
      </c>
      <c r="AX7" s="31" t="b">
        <f>FALSE()</f>
        <v>0</v>
      </c>
      <c r="AY7" s="31" t="b">
        <f>TRUE()</f>
        <v>1</v>
      </c>
      <c r="AZ7" s="24">
        <f t="shared" si="0"/>
        <v>4.5999999999999996</v>
      </c>
      <c r="BG7" s="24">
        <f t="shared" si="1"/>
        <v>1</v>
      </c>
    </row>
    <row r="8" spans="1:65" s="24" customFormat="1" ht="22.5" customHeight="1">
      <c r="A8" s="25">
        <v>46077.404566076402</v>
      </c>
      <c r="B8" s="20" t="s">
        <v>108</v>
      </c>
      <c r="C8" s="20" t="s">
        <v>74</v>
      </c>
      <c r="D8" s="20" t="s">
        <v>109</v>
      </c>
      <c r="E8" s="20" t="s">
        <v>76</v>
      </c>
      <c r="F8" s="20"/>
      <c r="G8" s="20" t="s">
        <v>110</v>
      </c>
      <c r="H8" s="20" t="s">
        <v>78</v>
      </c>
      <c r="I8" s="20" t="s">
        <v>111</v>
      </c>
      <c r="J8" s="20" t="s">
        <v>80</v>
      </c>
      <c r="K8" s="20">
        <v>5</v>
      </c>
      <c r="L8" s="20">
        <v>5</v>
      </c>
      <c r="M8" s="20">
        <v>5</v>
      </c>
      <c r="N8" s="20">
        <v>5</v>
      </c>
      <c r="O8" s="20">
        <v>5</v>
      </c>
      <c r="P8" s="20">
        <v>5</v>
      </c>
      <c r="Q8" s="20">
        <v>5</v>
      </c>
      <c r="R8" s="20">
        <v>5</v>
      </c>
      <c r="S8" s="20">
        <v>5</v>
      </c>
      <c r="T8" s="20">
        <v>5</v>
      </c>
      <c r="U8" s="20">
        <v>5</v>
      </c>
      <c r="V8" s="20">
        <v>5</v>
      </c>
      <c r="W8" s="20">
        <v>5</v>
      </c>
      <c r="X8" s="20">
        <v>5</v>
      </c>
      <c r="Y8" s="20">
        <v>5</v>
      </c>
      <c r="Z8" s="20">
        <v>5</v>
      </c>
      <c r="AA8" s="20">
        <v>5</v>
      </c>
      <c r="AB8" s="20">
        <v>5</v>
      </c>
      <c r="AC8" s="20">
        <v>5</v>
      </c>
      <c r="AD8" s="20">
        <v>5</v>
      </c>
      <c r="AE8" s="20">
        <v>4</v>
      </c>
      <c r="AF8" s="20">
        <v>5</v>
      </c>
      <c r="AG8" s="20">
        <v>4</v>
      </c>
      <c r="AH8" s="20">
        <v>4</v>
      </c>
      <c r="AI8" s="20">
        <v>4</v>
      </c>
      <c r="AJ8" s="20">
        <v>4</v>
      </c>
      <c r="AK8" s="20">
        <v>4</v>
      </c>
      <c r="AL8" s="20">
        <v>3</v>
      </c>
      <c r="AM8" s="20">
        <v>4</v>
      </c>
      <c r="AN8" s="20">
        <v>4</v>
      </c>
      <c r="AO8" s="20">
        <v>4</v>
      </c>
      <c r="AP8" s="20">
        <v>4</v>
      </c>
      <c r="AQ8" s="20">
        <v>4</v>
      </c>
      <c r="AR8" s="20"/>
      <c r="AS8" s="20"/>
      <c r="AT8" s="20" t="s">
        <v>112</v>
      </c>
      <c r="AU8" s="20" t="s">
        <v>113</v>
      </c>
      <c r="AV8" s="20" t="s">
        <v>114</v>
      </c>
      <c r="AW8" s="20" t="s">
        <v>115</v>
      </c>
      <c r="AX8" s="20" t="b">
        <f>TRUE()</f>
        <v>1</v>
      </c>
      <c r="AY8" s="20" t="b">
        <f>FALSE()</f>
        <v>0</v>
      </c>
      <c r="AZ8" s="26">
        <f t="shared" si="0"/>
        <v>5</v>
      </c>
      <c r="BA8" s="26">
        <f>AVERAGE(P8:T8)</f>
        <v>5</v>
      </c>
      <c r="BB8" s="26">
        <f>AVERAGE(U8:Y8)</f>
        <v>5</v>
      </c>
      <c r="BC8" s="26">
        <f>AVERAGE(Z8:AD8)</f>
        <v>5</v>
      </c>
      <c r="BD8" s="26">
        <f>AVERAGE(AE8:AI8)</f>
        <v>4.2</v>
      </c>
      <c r="BE8" s="26">
        <f>AVERAGE(AJ8:AN8)</f>
        <v>3.8</v>
      </c>
      <c r="BF8" s="26">
        <f>AVERAGE(AO8:AS8)</f>
        <v>4</v>
      </c>
      <c r="BG8" s="23">
        <f t="shared" si="1"/>
        <v>1</v>
      </c>
      <c r="BH8" s="23">
        <f t="shared" ref="BH8:BM8" si="3">IF(BA8&gt;=4,1,0)</f>
        <v>1</v>
      </c>
      <c r="BI8" s="23">
        <f t="shared" si="3"/>
        <v>1</v>
      </c>
      <c r="BJ8" s="23">
        <f t="shared" si="3"/>
        <v>1</v>
      </c>
      <c r="BK8" s="23">
        <f t="shared" si="3"/>
        <v>1</v>
      </c>
      <c r="BL8" s="23">
        <f t="shared" si="3"/>
        <v>0</v>
      </c>
      <c r="BM8" s="23">
        <f t="shared" si="3"/>
        <v>1</v>
      </c>
    </row>
    <row r="9" spans="1:65" ht="22.5" hidden="1" customHeight="1">
      <c r="A9" s="27">
        <v>46077.4056833102</v>
      </c>
      <c r="B9" s="28" t="s">
        <v>116</v>
      </c>
      <c r="C9" s="28" t="s">
        <v>97</v>
      </c>
      <c r="D9" s="28" t="s">
        <v>98</v>
      </c>
      <c r="E9" s="28" t="s">
        <v>99</v>
      </c>
      <c r="F9" s="28" t="s">
        <v>117</v>
      </c>
      <c r="G9" s="28" t="s">
        <v>118</v>
      </c>
      <c r="H9" s="28"/>
      <c r="I9" s="28" t="s">
        <v>119</v>
      </c>
      <c r="J9" s="28" t="s">
        <v>91</v>
      </c>
      <c r="K9" s="28">
        <v>3</v>
      </c>
      <c r="L9" s="28">
        <v>4</v>
      </c>
      <c r="M9" s="28">
        <v>4</v>
      </c>
      <c r="N9" s="28">
        <v>4</v>
      </c>
      <c r="O9" s="28">
        <v>5</v>
      </c>
      <c r="P9" s="28">
        <v>4</v>
      </c>
      <c r="Q9" s="28">
        <v>3</v>
      </c>
      <c r="R9" s="28">
        <v>5</v>
      </c>
      <c r="S9" s="28">
        <v>5</v>
      </c>
      <c r="T9" s="28">
        <v>4</v>
      </c>
      <c r="U9" s="28">
        <v>4</v>
      </c>
      <c r="V9" s="28">
        <v>4</v>
      </c>
      <c r="W9" s="28">
        <v>5</v>
      </c>
      <c r="X9" s="28">
        <v>5</v>
      </c>
      <c r="Y9" s="28">
        <v>5</v>
      </c>
      <c r="Z9" s="28">
        <v>4</v>
      </c>
      <c r="AA9" s="28">
        <v>4</v>
      </c>
      <c r="AB9" s="28">
        <v>3</v>
      </c>
      <c r="AC9" s="28">
        <v>5</v>
      </c>
      <c r="AD9" s="28">
        <v>5</v>
      </c>
      <c r="AE9" s="28"/>
      <c r="AF9" s="20">
        <v>5</v>
      </c>
      <c r="AG9" s="20">
        <v>5</v>
      </c>
      <c r="AH9" s="20">
        <v>5</v>
      </c>
      <c r="AI9" s="20">
        <v>5</v>
      </c>
      <c r="AJ9" s="20">
        <v>5</v>
      </c>
      <c r="AK9" s="20">
        <v>4</v>
      </c>
      <c r="AL9" s="20">
        <v>5</v>
      </c>
      <c r="AM9" s="20">
        <v>5</v>
      </c>
      <c r="AN9" s="20">
        <v>5</v>
      </c>
      <c r="AO9" s="20">
        <v>5</v>
      </c>
      <c r="AP9" s="20">
        <v>5</v>
      </c>
      <c r="AQ9" s="20">
        <v>4</v>
      </c>
      <c r="AR9" s="28"/>
      <c r="AS9" s="28"/>
      <c r="AT9" s="28" t="s">
        <v>120</v>
      </c>
      <c r="AU9" s="28" t="s">
        <v>121</v>
      </c>
      <c r="AV9" s="28" t="s">
        <v>122</v>
      </c>
      <c r="AW9" s="28" t="s">
        <v>123</v>
      </c>
      <c r="AX9" s="28" t="b">
        <f>FALSE()</f>
        <v>0</v>
      </c>
      <c r="AY9" s="28" t="b">
        <f>TRUE()</f>
        <v>1</v>
      </c>
      <c r="AZ9" s="10">
        <f t="shared" si="0"/>
        <v>4</v>
      </c>
      <c r="BG9" s="10">
        <f t="shared" si="1"/>
        <v>1</v>
      </c>
    </row>
    <row r="10" spans="1:65" ht="22.5" hidden="1" customHeight="1">
      <c r="A10" s="27">
        <v>46077.409502835697</v>
      </c>
      <c r="B10" s="28" t="s">
        <v>124</v>
      </c>
      <c r="C10" s="28" t="s">
        <v>74</v>
      </c>
      <c r="D10" s="28" t="s">
        <v>98</v>
      </c>
      <c r="E10" s="28" t="s">
        <v>99</v>
      </c>
      <c r="F10" s="28" t="s">
        <v>125</v>
      </c>
      <c r="G10" s="28" t="s">
        <v>126</v>
      </c>
      <c r="H10" s="28"/>
      <c r="I10" s="28" t="s">
        <v>119</v>
      </c>
      <c r="J10" s="28" t="s">
        <v>127</v>
      </c>
      <c r="K10" s="28">
        <v>5</v>
      </c>
      <c r="L10" s="28">
        <v>4</v>
      </c>
      <c r="M10" s="28">
        <v>4</v>
      </c>
      <c r="N10" s="28">
        <v>4</v>
      </c>
      <c r="O10" s="28">
        <v>4</v>
      </c>
      <c r="P10" s="28">
        <v>5</v>
      </c>
      <c r="Q10" s="28">
        <v>5</v>
      </c>
      <c r="R10" s="28">
        <v>5</v>
      </c>
      <c r="S10" s="28">
        <v>5</v>
      </c>
      <c r="T10" s="28">
        <v>4</v>
      </c>
      <c r="U10" s="28">
        <v>5</v>
      </c>
      <c r="V10" s="28">
        <v>5</v>
      </c>
      <c r="W10" s="28">
        <v>4</v>
      </c>
      <c r="X10" s="28">
        <v>5</v>
      </c>
      <c r="Y10" s="28">
        <v>5</v>
      </c>
      <c r="Z10" s="28">
        <v>4</v>
      </c>
      <c r="AA10" s="28">
        <v>4</v>
      </c>
      <c r="AB10" s="28">
        <v>5</v>
      </c>
      <c r="AC10" s="28">
        <v>4</v>
      </c>
      <c r="AD10" s="28">
        <v>4</v>
      </c>
      <c r="AE10" s="28"/>
      <c r="AF10" s="20">
        <v>2</v>
      </c>
      <c r="AG10" s="20">
        <v>2</v>
      </c>
      <c r="AH10" s="20">
        <v>3</v>
      </c>
      <c r="AI10" s="20">
        <v>3</v>
      </c>
      <c r="AJ10" s="20">
        <v>4</v>
      </c>
      <c r="AK10" s="20">
        <v>3</v>
      </c>
      <c r="AL10" s="20">
        <v>2</v>
      </c>
      <c r="AM10" s="20">
        <v>2</v>
      </c>
      <c r="AN10" s="20">
        <v>3</v>
      </c>
      <c r="AO10" s="20">
        <v>3</v>
      </c>
      <c r="AP10" s="20">
        <v>4</v>
      </c>
      <c r="AQ10" s="20">
        <v>3</v>
      </c>
      <c r="AR10" s="28"/>
      <c r="AS10" s="28"/>
      <c r="AT10" s="28" t="s">
        <v>128</v>
      </c>
      <c r="AU10" s="28" t="s">
        <v>129</v>
      </c>
      <c r="AV10" s="28" t="s">
        <v>130</v>
      </c>
      <c r="AW10" s="28" t="s">
        <v>131</v>
      </c>
      <c r="AX10" s="28" t="b">
        <f>FALSE()</f>
        <v>0</v>
      </c>
      <c r="AY10" s="28" t="b">
        <f>TRUE()</f>
        <v>1</v>
      </c>
      <c r="AZ10" s="10">
        <f t="shared" si="0"/>
        <v>4.2</v>
      </c>
      <c r="BG10" s="10">
        <f t="shared" si="1"/>
        <v>1</v>
      </c>
    </row>
    <row r="11" spans="1:65" ht="22.5" hidden="1" customHeight="1">
      <c r="A11" s="30">
        <v>46077.475877210702</v>
      </c>
      <c r="B11" s="31" t="s">
        <v>132</v>
      </c>
      <c r="C11" s="31" t="s">
        <v>74</v>
      </c>
      <c r="D11" s="31" t="s">
        <v>98</v>
      </c>
      <c r="E11" s="31" t="s">
        <v>99</v>
      </c>
      <c r="F11" s="31" t="s">
        <v>133</v>
      </c>
      <c r="G11" s="31" t="s">
        <v>134</v>
      </c>
      <c r="H11" s="31"/>
      <c r="I11" s="31" t="s">
        <v>111</v>
      </c>
      <c r="J11" s="31" t="s">
        <v>135</v>
      </c>
      <c r="K11" s="31">
        <v>5</v>
      </c>
      <c r="L11" s="31">
        <v>4</v>
      </c>
      <c r="M11" s="31">
        <v>4</v>
      </c>
      <c r="N11" s="31">
        <v>5</v>
      </c>
      <c r="O11" s="31">
        <v>4</v>
      </c>
      <c r="P11" s="31">
        <v>4</v>
      </c>
      <c r="Q11" s="31">
        <v>4</v>
      </c>
      <c r="R11" s="31">
        <v>4</v>
      </c>
      <c r="S11" s="31">
        <v>5</v>
      </c>
      <c r="T11" s="31">
        <v>5</v>
      </c>
      <c r="U11" s="31">
        <v>4</v>
      </c>
      <c r="V11" s="31">
        <v>4</v>
      </c>
      <c r="W11" s="31">
        <v>4</v>
      </c>
      <c r="X11" s="31">
        <v>4</v>
      </c>
      <c r="Y11" s="31">
        <v>4</v>
      </c>
      <c r="Z11" s="31">
        <v>3</v>
      </c>
      <c r="AA11" s="31">
        <v>3</v>
      </c>
      <c r="AB11" s="31">
        <v>3</v>
      </c>
      <c r="AC11" s="31">
        <v>3</v>
      </c>
      <c r="AD11" s="31">
        <v>3</v>
      </c>
      <c r="AE11" s="31"/>
      <c r="AF11" s="20">
        <v>4</v>
      </c>
      <c r="AG11" s="20">
        <v>4</v>
      </c>
      <c r="AH11" s="20">
        <v>4</v>
      </c>
      <c r="AI11" s="20">
        <v>4</v>
      </c>
      <c r="AJ11" s="20">
        <v>4</v>
      </c>
      <c r="AK11" s="20">
        <v>4</v>
      </c>
      <c r="AL11" s="20">
        <v>4</v>
      </c>
      <c r="AM11" s="20">
        <v>4</v>
      </c>
      <c r="AN11" s="20">
        <v>4</v>
      </c>
      <c r="AO11" s="20">
        <v>4</v>
      </c>
      <c r="AP11" s="20">
        <v>4</v>
      </c>
      <c r="AQ11" s="20">
        <v>4</v>
      </c>
      <c r="AR11" s="31"/>
      <c r="AS11" s="31"/>
      <c r="AT11" s="31" t="s">
        <v>136</v>
      </c>
      <c r="AU11" s="31" t="s">
        <v>137</v>
      </c>
      <c r="AV11" s="31" t="s">
        <v>138</v>
      </c>
      <c r="AW11" s="31" t="s">
        <v>139</v>
      </c>
      <c r="AX11" s="31" t="b">
        <f>FALSE()</f>
        <v>0</v>
      </c>
      <c r="AY11" s="31" t="b">
        <f>TRUE()</f>
        <v>1</v>
      </c>
      <c r="AZ11" s="10">
        <f t="shared" si="0"/>
        <v>4.4000000000000004</v>
      </c>
      <c r="BG11" s="10">
        <f t="shared" si="1"/>
        <v>1</v>
      </c>
    </row>
    <row r="12" spans="1:65" s="29" customFormat="1" ht="22.5" hidden="1" customHeight="1">
      <c r="A12" s="30">
        <v>46077.512372384299</v>
      </c>
      <c r="B12" s="31" t="s">
        <v>140</v>
      </c>
      <c r="C12" s="31" t="s">
        <v>74</v>
      </c>
      <c r="D12" s="31" t="s">
        <v>141</v>
      </c>
      <c r="E12" s="31" t="s">
        <v>142</v>
      </c>
      <c r="F12" s="31" t="s">
        <v>143</v>
      </c>
      <c r="G12" s="31" t="s">
        <v>144</v>
      </c>
      <c r="H12" s="31"/>
      <c r="I12" s="31" t="s">
        <v>79</v>
      </c>
      <c r="J12" s="31" t="s">
        <v>145</v>
      </c>
      <c r="K12" s="31">
        <v>4</v>
      </c>
      <c r="L12" s="31">
        <v>4</v>
      </c>
      <c r="M12" s="31">
        <v>3</v>
      </c>
      <c r="N12" s="31">
        <v>4</v>
      </c>
      <c r="O12" s="31">
        <v>4</v>
      </c>
      <c r="P12" s="31">
        <v>3</v>
      </c>
      <c r="Q12" s="31">
        <v>2</v>
      </c>
      <c r="R12" s="31">
        <v>3</v>
      </c>
      <c r="S12" s="31">
        <v>4</v>
      </c>
      <c r="T12" s="31">
        <v>4</v>
      </c>
      <c r="U12" s="31">
        <v>3</v>
      </c>
      <c r="V12" s="31">
        <v>4</v>
      </c>
      <c r="W12" s="31">
        <v>4</v>
      </c>
      <c r="X12" s="31">
        <v>4</v>
      </c>
      <c r="Y12" s="31">
        <v>4</v>
      </c>
      <c r="Z12" s="31">
        <v>3</v>
      </c>
      <c r="AA12" s="31">
        <v>3</v>
      </c>
      <c r="AB12" s="31">
        <v>3</v>
      </c>
      <c r="AC12" s="31">
        <v>4</v>
      </c>
      <c r="AD12" s="31">
        <v>4</v>
      </c>
      <c r="AE12" s="31"/>
      <c r="AF12" s="20">
        <v>4</v>
      </c>
      <c r="AG12" s="20">
        <v>5</v>
      </c>
      <c r="AH12" s="20">
        <v>4</v>
      </c>
      <c r="AI12" s="20">
        <v>5</v>
      </c>
      <c r="AJ12" s="20">
        <v>5</v>
      </c>
      <c r="AK12" s="20">
        <v>4</v>
      </c>
      <c r="AL12" s="20">
        <v>4</v>
      </c>
      <c r="AM12" s="20">
        <v>5</v>
      </c>
      <c r="AN12" s="20">
        <v>4</v>
      </c>
      <c r="AO12" s="20">
        <v>5</v>
      </c>
      <c r="AP12" s="20">
        <v>5</v>
      </c>
      <c r="AQ12" s="20">
        <v>4</v>
      </c>
      <c r="AR12" s="31"/>
      <c r="AS12" s="31"/>
      <c r="AT12" s="31" t="s">
        <v>136</v>
      </c>
      <c r="AU12" s="31" t="s">
        <v>146</v>
      </c>
      <c r="AV12" s="31" t="s">
        <v>147</v>
      </c>
      <c r="AW12" s="31" t="s">
        <v>148</v>
      </c>
      <c r="AX12" s="31" t="b">
        <f>FALSE()</f>
        <v>0</v>
      </c>
      <c r="AY12" s="31" t="b">
        <f>TRUE()</f>
        <v>1</v>
      </c>
      <c r="AZ12" s="29">
        <f t="shared" si="0"/>
        <v>3.8</v>
      </c>
      <c r="BG12" s="29">
        <f t="shared" si="1"/>
        <v>0</v>
      </c>
    </row>
    <row r="13" spans="1:65" s="29" customFormat="1" ht="22.5" hidden="1" customHeight="1">
      <c r="A13" s="30">
        <v>46077.538760069401</v>
      </c>
      <c r="B13" s="31" t="s">
        <v>149</v>
      </c>
      <c r="C13" s="31" t="s">
        <v>74</v>
      </c>
      <c r="D13" s="31" t="s">
        <v>141</v>
      </c>
      <c r="E13" s="31" t="s">
        <v>76</v>
      </c>
      <c r="F13" s="31"/>
      <c r="G13" s="31" t="s">
        <v>150</v>
      </c>
      <c r="H13" s="31"/>
      <c r="I13" s="31" t="s">
        <v>79</v>
      </c>
      <c r="J13" s="31" t="s">
        <v>151</v>
      </c>
      <c r="K13" s="31">
        <v>5</v>
      </c>
      <c r="L13" s="31">
        <v>5</v>
      </c>
      <c r="M13" s="31">
        <v>4</v>
      </c>
      <c r="N13" s="31">
        <v>5</v>
      </c>
      <c r="O13" s="31">
        <v>5</v>
      </c>
      <c r="P13" s="31">
        <v>5</v>
      </c>
      <c r="Q13" s="31">
        <v>4</v>
      </c>
      <c r="R13" s="31">
        <v>5</v>
      </c>
      <c r="S13" s="31">
        <v>5</v>
      </c>
      <c r="T13" s="31">
        <v>4</v>
      </c>
      <c r="U13" s="31">
        <v>5</v>
      </c>
      <c r="V13" s="31">
        <v>5</v>
      </c>
      <c r="W13" s="31">
        <v>5</v>
      </c>
      <c r="X13" s="31">
        <v>5</v>
      </c>
      <c r="Y13" s="31">
        <v>5</v>
      </c>
      <c r="Z13" s="31">
        <v>4</v>
      </c>
      <c r="AA13" s="31">
        <v>4</v>
      </c>
      <c r="AB13" s="31">
        <v>4</v>
      </c>
      <c r="AC13" s="31">
        <v>4</v>
      </c>
      <c r="AD13" s="31">
        <v>4</v>
      </c>
      <c r="AE13" s="31"/>
      <c r="AF13" s="20">
        <v>5</v>
      </c>
      <c r="AG13" s="20">
        <v>5</v>
      </c>
      <c r="AH13" s="20">
        <v>5</v>
      </c>
      <c r="AI13" s="20">
        <v>5</v>
      </c>
      <c r="AJ13" s="20">
        <v>5</v>
      </c>
      <c r="AK13" s="20">
        <v>4</v>
      </c>
      <c r="AL13" s="20">
        <v>5</v>
      </c>
      <c r="AM13" s="20">
        <v>5</v>
      </c>
      <c r="AN13" s="20">
        <v>5</v>
      </c>
      <c r="AO13" s="20">
        <v>5</v>
      </c>
      <c r="AP13" s="20">
        <v>5</v>
      </c>
      <c r="AQ13" s="20">
        <v>4</v>
      </c>
      <c r="AR13" s="31"/>
      <c r="AS13" s="31"/>
      <c r="AT13" s="31" t="s">
        <v>152</v>
      </c>
      <c r="AU13" s="31" t="s">
        <v>153</v>
      </c>
      <c r="AV13" s="31" t="s">
        <v>154</v>
      </c>
      <c r="AW13" s="31" t="s">
        <v>155</v>
      </c>
      <c r="AX13" s="31" t="b">
        <f>FALSE()</f>
        <v>0</v>
      </c>
      <c r="AY13" s="31" t="b">
        <f>TRUE()</f>
        <v>1</v>
      </c>
      <c r="AZ13" s="29">
        <f t="shared" si="0"/>
        <v>4.8</v>
      </c>
      <c r="BG13" s="29">
        <f t="shared" si="1"/>
        <v>1</v>
      </c>
    </row>
    <row r="14" spans="1:65" s="29" customFormat="1" ht="22.5" customHeight="1">
      <c r="A14" s="25">
        <v>46077.544940914398</v>
      </c>
      <c r="B14" s="20" t="s">
        <v>156</v>
      </c>
      <c r="C14" s="31" t="s">
        <v>74</v>
      </c>
      <c r="D14" s="20" t="s">
        <v>141</v>
      </c>
      <c r="E14" s="20" t="s">
        <v>76</v>
      </c>
      <c r="F14" s="20"/>
      <c r="G14" s="20" t="s">
        <v>157</v>
      </c>
      <c r="H14" s="20" t="s">
        <v>158</v>
      </c>
      <c r="I14" s="20" t="s">
        <v>111</v>
      </c>
      <c r="J14" s="20" t="s">
        <v>159</v>
      </c>
      <c r="K14" s="20">
        <v>5</v>
      </c>
      <c r="L14" s="20">
        <v>5</v>
      </c>
      <c r="M14" s="20">
        <v>4</v>
      </c>
      <c r="N14" s="20">
        <v>5</v>
      </c>
      <c r="O14" s="20">
        <v>5</v>
      </c>
      <c r="P14" s="20">
        <v>5</v>
      </c>
      <c r="Q14" s="20">
        <v>4</v>
      </c>
      <c r="R14" s="20">
        <v>5</v>
      </c>
      <c r="S14" s="20">
        <v>4</v>
      </c>
      <c r="T14" s="20">
        <v>5</v>
      </c>
      <c r="U14" s="20">
        <v>5</v>
      </c>
      <c r="V14" s="20">
        <v>5</v>
      </c>
      <c r="W14" s="20">
        <v>5</v>
      </c>
      <c r="X14" s="20">
        <v>5</v>
      </c>
      <c r="Y14" s="20">
        <v>4</v>
      </c>
      <c r="Z14" s="20">
        <v>4</v>
      </c>
      <c r="AA14" s="20">
        <v>5</v>
      </c>
      <c r="AB14" s="20">
        <v>4</v>
      </c>
      <c r="AC14" s="20">
        <v>4</v>
      </c>
      <c r="AD14" s="20">
        <v>4</v>
      </c>
      <c r="AE14" s="20">
        <v>4</v>
      </c>
      <c r="AF14" s="20">
        <v>3</v>
      </c>
      <c r="AG14" s="20">
        <v>5</v>
      </c>
      <c r="AH14" s="20">
        <v>5</v>
      </c>
      <c r="AI14" s="20">
        <v>5</v>
      </c>
      <c r="AJ14" s="20">
        <v>5</v>
      </c>
      <c r="AK14" s="20">
        <v>4</v>
      </c>
      <c r="AL14" s="20">
        <v>3</v>
      </c>
      <c r="AM14" s="20">
        <v>5</v>
      </c>
      <c r="AN14" s="20">
        <v>5</v>
      </c>
      <c r="AO14" s="20">
        <v>5</v>
      </c>
      <c r="AP14" s="20">
        <v>5</v>
      </c>
      <c r="AQ14" s="20">
        <v>4</v>
      </c>
      <c r="AR14" s="20"/>
      <c r="AS14" s="20"/>
      <c r="AT14" s="20" t="s">
        <v>136</v>
      </c>
      <c r="AU14" s="20"/>
      <c r="AV14" s="20" t="s">
        <v>160</v>
      </c>
      <c r="AW14" s="20" t="s">
        <v>161</v>
      </c>
      <c r="AX14" s="20" t="b">
        <f>TRUE()</f>
        <v>1</v>
      </c>
      <c r="AY14" s="20" t="b">
        <f>FALSE()</f>
        <v>0</v>
      </c>
      <c r="AZ14" s="26">
        <f t="shared" si="0"/>
        <v>4.8</v>
      </c>
      <c r="BA14" s="26">
        <f t="shared" ref="BA14:BA23" si="4">AVERAGE(P14:T14)</f>
        <v>4.5999999999999996</v>
      </c>
      <c r="BB14" s="26">
        <f t="shared" ref="BB14:BB23" si="5">AVERAGE(U14:Y14)</f>
        <v>4.8</v>
      </c>
      <c r="BC14" s="26">
        <f t="shared" ref="BC14:BC23" si="6">AVERAGE(Z14:AD14)</f>
        <v>4.2</v>
      </c>
      <c r="BD14" s="26">
        <f t="shared" ref="BD14:BD23" si="7">AVERAGE(AE14:AI14)</f>
        <v>4.4000000000000004</v>
      </c>
      <c r="BE14" s="26">
        <f t="shared" ref="BE14:BE23" si="8">AVERAGE(AJ14:AN14)</f>
        <v>4.4000000000000004</v>
      </c>
      <c r="BF14" s="26">
        <f t="shared" ref="BF14:BF23" si="9">AVERAGE(AO14:AS14)</f>
        <v>4.666666666666667</v>
      </c>
      <c r="BG14" s="23">
        <f t="shared" si="1"/>
        <v>1</v>
      </c>
      <c r="BH14" s="23">
        <f t="shared" ref="BH14:BH23" si="10">IF(BA14&gt;=4,1,0)</f>
        <v>1</v>
      </c>
      <c r="BI14" s="23">
        <f t="shared" ref="BI14:BI23" si="11">IF(BB14&gt;=4,1,0)</f>
        <v>1</v>
      </c>
      <c r="BJ14" s="23">
        <f t="shared" ref="BJ14:BJ23" si="12">IF(BC14&gt;=4,1,0)</f>
        <v>1</v>
      </c>
      <c r="BK14" s="23">
        <f t="shared" ref="BK14:BK23" si="13">IF(BD14&gt;=4,1,0)</f>
        <v>1</v>
      </c>
      <c r="BL14" s="23">
        <f t="shared" ref="BL14:BL23" si="14">IF(BE14&gt;=4,1,0)</f>
        <v>1</v>
      </c>
      <c r="BM14" s="23">
        <f t="shared" ref="BM14:BM23" si="15">IF(BF14&gt;=4,1,0)</f>
        <v>1</v>
      </c>
    </row>
    <row r="15" spans="1:65" s="29" customFormat="1" ht="22.5" customHeight="1">
      <c r="A15" s="25">
        <v>46077.548163645799</v>
      </c>
      <c r="B15" s="20" t="s">
        <v>162</v>
      </c>
      <c r="C15" s="31" t="s">
        <v>74</v>
      </c>
      <c r="D15" s="20" t="s">
        <v>163</v>
      </c>
      <c r="E15" s="20" t="s">
        <v>164</v>
      </c>
      <c r="F15" s="20"/>
      <c r="G15" s="20" t="s">
        <v>165</v>
      </c>
      <c r="H15" s="20" t="s">
        <v>158</v>
      </c>
      <c r="I15" s="20" t="s">
        <v>79</v>
      </c>
      <c r="J15" s="20" t="s">
        <v>166</v>
      </c>
      <c r="K15" s="20">
        <v>4</v>
      </c>
      <c r="L15" s="20">
        <v>4</v>
      </c>
      <c r="M15" s="20">
        <v>3</v>
      </c>
      <c r="N15" s="20">
        <v>5</v>
      </c>
      <c r="O15" s="20">
        <v>4</v>
      </c>
      <c r="P15" s="20">
        <v>4</v>
      </c>
      <c r="Q15" s="20">
        <v>4</v>
      </c>
      <c r="R15" s="20">
        <v>4</v>
      </c>
      <c r="S15" s="20">
        <v>4</v>
      </c>
      <c r="T15" s="20">
        <v>4</v>
      </c>
      <c r="U15" s="20">
        <v>4</v>
      </c>
      <c r="V15" s="20">
        <v>3</v>
      </c>
      <c r="W15" s="20">
        <v>4</v>
      </c>
      <c r="X15" s="20">
        <v>4</v>
      </c>
      <c r="Y15" s="20">
        <v>4</v>
      </c>
      <c r="Z15" s="20">
        <v>5</v>
      </c>
      <c r="AA15" s="20">
        <v>4</v>
      </c>
      <c r="AB15" s="20">
        <v>4</v>
      </c>
      <c r="AC15" s="20">
        <v>4</v>
      </c>
      <c r="AD15" s="20">
        <v>4</v>
      </c>
      <c r="AE15" s="20">
        <v>4</v>
      </c>
      <c r="AF15" s="20">
        <v>5</v>
      </c>
      <c r="AG15" s="20">
        <v>4</v>
      </c>
      <c r="AH15" s="20">
        <v>4</v>
      </c>
      <c r="AI15" s="20">
        <v>4</v>
      </c>
      <c r="AJ15" s="20">
        <v>4</v>
      </c>
      <c r="AK15" s="20">
        <v>5</v>
      </c>
      <c r="AL15" s="20">
        <v>3</v>
      </c>
      <c r="AM15" s="20">
        <v>3</v>
      </c>
      <c r="AN15" s="20">
        <v>4</v>
      </c>
      <c r="AO15" s="20">
        <v>4</v>
      </c>
      <c r="AP15" s="20">
        <v>4</v>
      </c>
      <c r="AQ15" s="20">
        <v>5</v>
      </c>
      <c r="AR15" s="20"/>
      <c r="AS15" s="20"/>
      <c r="AT15" s="20" t="s">
        <v>167</v>
      </c>
      <c r="AU15" s="20" t="s">
        <v>168</v>
      </c>
      <c r="AV15" s="20" t="s">
        <v>169</v>
      </c>
      <c r="AW15" s="20" t="s">
        <v>170</v>
      </c>
      <c r="AX15" s="20" t="b">
        <f>TRUE()</f>
        <v>1</v>
      </c>
      <c r="AY15" s="20" t="b">
        <f>FALSE()</f>
        <v>0</v>
      </c>
      <c r="AZ15" s="26">
        <f t="shared" si="0"/>
        <v>4</v>
      </c>
      <c r="BA15" s="26">
        <f t="shared" si="4"/>
        <v>4</v>
      </c>
      <c r="BB15" s="26">
        <f t="shared" si="5"/>
        <v>3.8</v>
      </c>
      <c r="BC15" s="26">
        <f t="shared" si="6"/>
        <v>4.2</v>
      </c>
      <c r="BD15" s="26">
        <f t="shared" si="7"/>
        <v>4.2</v>
      </c>
      <c r="BE15" s="26">
        <f t="shared" si="8"/>
        <v>3.8</v>
      </c>
      <c r="BF15" s="26">
        <f t="shared" si="9"/>
        <v>4.333333333333333</v>
      </c>
      <c r="BG15" s="23">
        <f t="shared" si="1"/>
        <v>1</v>
      </c>
      <c r="BH15" s="23">
        <f t="shared" si="10"/>
        <v>1</v>
      </c>
      <c r="BI15" s="23">
        <f t="shared" si="11"/>
        <v>0</v>
      </c>
      <c r="BJ15" s="23">
        <f t="shared" si="12"/>
        <v>1</v>
      </c>
      <c r="BK15" s="23">
        <f t="shared" si="13"/>
        <v>1</v>
      </c>
      <c r="BL15" s="23">
        <f t="shared" si="14"/>
        <v>0</v>
      </c>
      <c r="BM15" s="23">
        <f t="shared" si="15"/>
        <v>1</v>
      </c>
    </row>
    <row r="16" spans="1:65" s="29" customFormat="1" ht="22.5" customHeight="1">
      <c r="A16" s="25">
        <v>46077.561076817103</v>
      </c>
      <c r="B16" s="20" t="s">
        <v>171</v>
      </c>
      <c r="C16" s="31" t="s">
        <v>74</v>
      </c>
      <c r="D16" s="20" t="s">
        <v>75</v>
      </c>
      <c r="E16" s="20" t="s">
        <v>172</v>
      </c>
      <c r="F16" s="20"/>
      <c r="G16" s="20" t="s">
        <v>173</v>
      </c>
      <c r="H16" s="20" t="s">
        <v>174</v>
      </c>
      <c r="I16" s="20" t="s">
        <v>79</v>
      </c>
      <c r="J16" s="20" t="s">
        <v>175</v>
      </c>
      <c r="K16" s="20">
        <v>5</v>
      </c>
      <c r="L16" s="20">
        <v>5</v>
      </c>
      <c r="M16" s="20">
        <v>5</v>
      </c>
      <c r="N16" s="20">
        <v>5</v>
      </c>
      <c r="O16" s="20">
        <v>5</v>
      </c>
      <c r="P16" s="20">
        <v>5</v>
      </c>
      <c r="Q16" s="20">
        <v>5</v>
      </c>
      <c r="R16" s="20">
        <v>5</v>
      </c>
      <c r="S16" s="20">
        <v>5</v>
      </c>
      <c r="T16" s="20">
        <v>5</v>
      </c>
      <c r="U16" s="20">
        <v>5</v>
      </c>
      <c r="V16" s="20">
        <v>5</v>
      </c>
      <c r="W16" s="20">
        <v>5</v>
      </c>
      <c r="X16" s="20">
        <v>5</v>
      </c>
      <c r="Y16" s="20">
        <v>5</v>
      </c>
      <c r="Z16" s="20">
        <v>5</v>
      </c>
      <c r="AA16" s="20">
        <v>5</v>
      </c>
      <c r="AB16" s="20">
        <v>5</v>
      </c>
      <c r="AC16" s="20">
        <v>5</v>
      </c>
      <c r="AD16" s="20">
        <v>5</v>
      </c>
      <c r="AE16" s="20">
        <v>4</v>
      </c>
      <c r="AF16" s="20">
        <v>4</v>
      </c>
      <c r="AG16" s="20">
        <v>4</v>
      </c>
      <c r="AH16" s="20">
        <v>4</v>
      </c>
      <c r="AI16" s="20">
        <v>4</v>
      </c>
      <c r="AJ16" s="20">
        <v>4</v>
      </c>
      <c r="AK16" s="20">
        <v>4</v>
      </c>
      <c r="AL16" s="20">
        <v>4</v>
      </c>
      <c r="AM16" s="20">
        <v>4</v>
      </c>
      <c r="AN16" s="20">
        <v>3</v>
      </c>
      <c r="AO16" s="20">
        <v>4</v>
      </c>
      <c r="AP16" s="20">
        <v>4</v>
      </c>
      <c r="AQ16" s="20">
        <v>4</v>
      </c>
      <c r="AR16" s="20"/>
      <c r="AS16" s="20"/>
      <c r="AT16" s="20" t="s">
        <v>176</v>
      </c>
      <c r="AU16" s="20" t="s">
        <v>177</v>
      </c>
      <c r="AV16" s="20" t="s">
        <v>178</v>
      </c>
      <c r="AW16" s="20" t="s">
        <v>179</v>
      </c>
      <c r="AX16" s="20" t="b">
        <f>TRUE()</f>
        <v>1</v>
      </c>
      <c r="AY16" s="20" t="b">
        <f>FALSE()</f>
        <v>0</v>
      </c>
      <c r="AZ16" s="26">
        <f t="shared" si="0"/>
        <v>5</v>
      </c>
      <c r="BA16" s="26">
        <f t="shared" si="4"/>
        <v>5</v>
      </c>
      <c r="BB16" s="26">
        <f t="shared" si="5"/>
        <v>5</v>
      </c>
      <c r="BC16" s="26">
        <f t="shared" si="6"/>
        <v>5</v>
      </c>
      <c r="BD16" s="26">
        <f t="shared" si="7"/>
        <v>4</v>
      </c>
      <c r="BE16" s="26">
        <f t="shared" si="8"/>
        <v>3.8</v>
      </c>
      <c r="BF16" s="26">
        <f t="shared" si="9"/>
        <v>4</v>
      </c>
      <c r="BG16" s="23">
        <f t="shared" si="1"/>
        <v>1</v>
      </c>
      <c r="BH16" s="23">
        <f t="shared" si="10"/>
        <v>1</v>
      </c>
      <c r="BI16" s="23">
        <f t="shared" si="11"/>
        <v>1</v>
      </c>
      <c r="BJ16" s="23">
        <f t="shared" si="12"/>
        <v>1</v>
      </c>
      <c r="BK16" s="23">
        <f t="shared" si="13"/>
        <v>1</v>
      </c>
      <c r="BL16" s="23">
        <f t="shared" si="14"/>
        <v>0</v>
      </c>
      <c r="BM16" s="23">
        <f t="shared" si="15"/>
        <v>1</v>
      </c>
    </row>
    <row r="17" spans="1:65" s="29" customFormat="1" ht="22.5" customHeight="1">
      <c r="A17" s="25">
        <v>46077.595488368097</v>
      </c>
      <c r="B17" s="20" t="s">
        <v>180</v>
      </c>
      <c r="C17" s="20" t="s">
        <v>74</v>
      </c>
      <c r="D17" s="20" t="s">
        <v>163</v>
      </c>
      <c r="E17" s="20" t="s">
        <v>76</v>
      </c>
      <c r="F17" s="20"/>
      <c r="G17" s="20" t="s">
        <v>181</v>
      </c>
      <c r="H17" s="20" t="s">
        <v>158</v>
      </c>
      <c r="I17" s="20" t="s">
        <v>79</v>
      </c>
      <c r="J17" s="20" t="s">
        <v>182</v>
      </c>
      <c r="K17" s="20">
        <v>5</v>
      </c>
      <c r="L17" s="20">
        <v>5</v>
      </c>
      <c r="M17" s="20">
        <v>5</v>
      </c>
      <c r="N17" s="20">
        <v>5</v>
      </c>
      <c r="O17" s="20">
        <v>5</v>
      </c>
      <c r="P17" s="20">
        <v>5</v>
      </c>
      <c r="Q17" s="20">
        <v>5</v>
      </c>
      <c r="R17" s="20">
        <v>5</v>
      </c>
      <c r="S17" s="20">
        <v>5</v>
      </c>
      <c r="T17" s="20">
        <v>5</v>
      </c>
      <c r="U17" s="20">
        <v>4</v>
      </c>
      <c r="V17" s="20">
        <v>4</v>
      </c>
      <c r="W17" s="20">
        <v>4</v>
      </c>
      <c r="X17" s="20">
        <v>5</v>
      </c>
      <c r="Y17" s="20">
        <v>4</v>
      </c>
      <c r="Z17" s="20">
        <v>2</v>
      </c>
      <c r="AA17" s="20">
        <v>2</v>
      </c>
      <c r="AB17" s="20">
        <v>3</v>
      </c>
      <c r="AC17" s="20">
        <v>3</v>
      </c>
      <c r="AD17" s="20">
        <v>4</v>
      </c>
      <c r="AE17" s="20">
        <v>4</v>
      </c>
      <c r="AF17" s="20">
        <v>4</v>
      </c>
      <c r="AG17" s="20">
        <v>4</v>
      </c>
      <c r="AH17" s="20">
        <v>5</v>
      </c>
      <c r="AI17" s="20">
        <v>4</v>
      </c>
      <c r="AJ17" s="20">
        <v>4</v>
      </c>
      <c r="AK17" s="20">
        <v>4</v>
      </c>
      <c r="AL17" s="20">
        <v>3</v>
      </c>
      <c r="AM17" s="20">
        <v>4</v>
      </c>
      <c r="AN17" s="20">
        <v>5</v>
      </c>
      <c r="AO17" s="20">
        <v>4</v>
      </c>
      <c r="AP17" s="20">
        <v>4</v>
      </c>
      <c r="AQ17" s="20">
        <v>4</v>
      </c>
      <c r="AR17" s="20"/>
      <c r="AS17" s="20"/>
      <c r="AT17" s="20" t="s">
        <v>183</v>
      </c>
      <c r="AU17" s="20" t="s">
        <v>184</v>
      </c>
      <c r="AV17" s="20" t="s">
        <v>185</v>
      </c>
      <c r="AW17" s="20" t="s">
        <v>186</v>
      </c>
      <c r="AX17" s="20" t="b">
        <f>TRUE()</f>
        <v>1</v>
      </c>
      <c r="AY17" s="20" t="b">
        <f>FALSE()</f>
        <v>0</v>
      </c>
      <c r="AZ17" s="26">
        <f t="shared" si="0"/>
        <v>5</v>
      </c>
      <c r="BA17" s="26">
        <f t="shared" si="4"/>
        <v>5</v>
      </c>
      <c r="BB17" s="26">
        <f t="shared" si="5"/>
        <v>4.2</v>
      </c>
      <c r="BC17" s="26">
        <f t="shared" si="6"/>
        <v>2.8</v>
      </c>
      <c r="BD17" s="26">
        <f t="shared" si="7"/>
        <v>4.2</v>
      </c>
      <c r="BE17" s="26">
        <f t="shared" si="8"/>
        <v>4</v>
      </c>
      <c r="BF17" s="26">
        <f t="shared" si="9"/>
        <v>4</v>
      </c>
      <c r="BG17" s="23">
        <f t="shared" si="1"/>
        <v>1</v>
      </c>
      <c r="BH17" s="23">
        <f t="shared" si="10"/>
        <v>1</v>
      </c>
      <c r="BI17" s="23">
        <f t="shared" si="11"/>
        <v>1</v>
      </c>
      <c r="BJ17" s="23">
        <f t="shared" si="12"/>
        <v>0</v>
      </c>
      <c r="BK17" s="23">
        <f t="shared" si="13"/>
        <v>1</v>
      </c>
      <c r="BL17" s="23">
        <f t="shared" si="14"/>
        <v>1</v>
      </c>
      <c r="BM17" s="23">
        <f t="shared" si="15"/>
        <v>1</v>
      </c>
    </row>
    <row r="18" spans="1:65" s="29" customFormat="1" ht="22.5" customHeight="1">
      <c r="A18" s="25">
        <v>46077.602465034703</v>
      </c>
      <c r="B18" s="20" t="s">
        <v>187</v>
      </c>
      <c r="C18" s="20" t="s">
        <v>74</v>
      </c>
      <c r="D18" s="20" t="s">
        <v>188</v>
      </c>
      <c r="E18" s="20" t="s">
        <v>189</v>
      </c>
      <c r="F18" s="20"/>
      <c r="G18" s="20" t="s">
        <v>190</v>
      </c>
      <c r="H18" s="20" t="s">
        <v>191</v>
      </c>
      <c r="I18" s="20" t="s">
        <v>79</v>
      </c>
      <c r="J18" s="20" t="s">
        <v>159</v>
      </c>
      <c r="K18" s="20">
        <v>5</v>
      </c>
      <c r="L18" s="20">
        <v>5</v>
      </c>
      <c r="M18" s="20">
        <v>5</v>
      </c>
      <c r="N18" s="20">
        <v>5</v>
      </c>
      <c r="O18" s="20">
        <v>5</v>
      </c>
      <c r="P18" s="20">
        <v>4</v>
      </c>
      <c r="Q18" s="20">
        <v>5</v>
      </c>
      <c r="R18" s="20">
        <v>4</v>
      </c>
      <c r="S18" s="20">
        <v>4</v>
      </c>
      <c r="T18" s="20">
        <v>5</v>
      </c>
      <c r="U18" s="20">
        <v>5</v>
      </c>
      <c r="V18" s="20">
        <v>5</v>
      </c>
      <c r="W18" s="20">
        <v>4</v>
      </c>
      <c r="X18" s="20">
        <v>5</v>
      </c>
      <c r="Y18" s="20">
        <v>4</v>
      </c>
      <c r="Z18" s="20">
        <v>4</v>
      </c>
      <c r="AA18" s="20">
        <v>4</v>
      </c>
      <c r="AB18" s="20">
        <v>4</v>
      </c>
      <c r="AC18" s="20">
        <v>4</v>
      </c>
      <c r="AD18" s="20">
        <v>4</v>
      </c>
      <c r="AE18" s="20">
        <v>4</v>
      </c>
      <c r="AF18" s="20">
        <v>5</v>
      </c>
      <c r="AG18" s="20">
        <v>5</v>
      </c>
      <c r="AH18" s="20">
        <v>5</v>
      </c>
      <c r="AI18" s="20">
        <v>5</v>
      </c>
      <c r="AJ18" s="20">
        <v>5</v>
      </c>
      <c r="AK18" s="20">
        <v>4</v>
      </c>
      <c r="AL18" s="20">
        <v>5</v>
      </c>
      <c r="AM18" s="20">
        <v>5</v>
      </c>
      <c r="AN18" s="20">
        <v>5</v>
      </c>
      <c r="AO18" s="20">
        <v>5</v>
      </c>
      <c r="AP18" s="20">
        <v>5</v>
      </c>
      <c r="AQ18" s="20">
        <v>4</v>
      </c>
      <c r="AR18" s="20"/>
      <c r="AS18" s="20"/>
      <c r="AT18" s="20"/>
      <c r="AU18" s="20"/>
      <c r="AV18" s="20"/>
      <c r="AW18" s="20"/>
      <c r="AX18" s="20" t="b">
        <f>TRUE()</f>
        <v>1</v>
      </c>
      <c r="AY18" s="20" t="b">
        <f>FALSE()</f>
        <v>0</v>
      </c>
      <c r="AZ18" s="26">
        <f t="shared" si="0"/>
        <v>5</v>
      </c>
      <c r="BA18" s="26">
        <f t="shared" si="4"/>
        <v>4.4000000000000004</v>
      </c>
      <c r="BB18" s="26">
        <f t="shared" si="5"/>
        <v>4.5999999999999996</v>
      </c>
      <c r="BC18" s="26">
        <f t="shared" si="6"/>
        <v>4</v>
      </c>
      <c r="BD18" s="26">
        <f t="shared" si="7"/>
        <v>4.8</v>
      </c>
      <c r="BE18" s="26">
        <f t="shared" si="8"/>
        <v>4.8</v>
      </c>
      <c r="BF18" s="26">
        <f t="shared" si="9"/>
        <v>4.666666666666667</v>
      </c>
      <c r="BG18" s="23">
        <f t="shared" si="1"/>
        <v>1</v>
      </c>
      <c r="BH18" s="23">
        <f t="shared" si="10"/>
        <v>1</v>
      </c>
      <c r="BI18" s="23">
        <f t="shared" si="11"/>
        <v>1</v>
      </c>
      <c r="BJ18" s="23">
        <f t="shared" si="12"/>
        <v>1</v>
      </c>
      <c r="BK18" s="23">
        <f t="shared" si="13"/>
        <v>1</v>
      </c>
      <c r="BL18" s="23">
        <f t="shared" si="14"/>
        <v>1</v>
      </c>
      <c r="BM18" s="23">
        <f t="shared" si="15"/>
        <v>1</v>
      </c>
    </row>
    <row r="19" spans="1:65" s="29" customFormat="1" ht="22.5" customHeight="1">
      <c r="A19" s="25">
        <v>46077.606236631997</v>
      </c>
      <c r="B19" s="20" t="s">
        <v>192</v>
      </c>
      <c r="C19" s="20" t="s">
        <v>74</v>
      </c>
      <c r="D19" s="20" t="s">
        <v>163</v>
      </c>
      <c r="E19" s="20" t="s">
        <v>193</v>
      </c>
      <c r="F19" s="20"/>
      <c r="G19" s="20" t="s">
        <v>194</v>
      </c>
      <c r="H19" s="20" t="s">
        <v>174</v>
      </c>
      <c r="I19" s="20" t="s">
        <v>79</v>
      </c>
      <c r="J19" s="20" t="s">
        <v>195</v>
      </c>
      <c r="K19" s="20">
        <v>5</v>
      </c>
      <c r="L19" s="20">
        <v>4</v>
      </c>
      <c r="M19" s="20">
        <v>4</v>
      </c>
      <c r="N19" s="20">
        <v>5</v>
      </c>
      <c r="O19" s="20">
        <v>4</v>
      </c>
      <c r="P19" s="20">
        <v>4</v>
      </c>
      <c r="Q19" s="20">
        <v>4</v>
      </c>
      <c r="R19" s="20">
        <v>4</v>
      </c>
      <c r="S19" s="20">
        <v>4</v>
      </c>
      <c r="T19" s="20">
        <v>4</v>
      </c>
      <c r="U19" s="20">
        <v>5</v>
      </c>
      <c r="V19" s="20">
        <v>5</v>
      </c>
      <c r="W19" s="20">
        <v>4</v>
      </c>
      <c r="X19" s="20">
        <v>5</v>
      </c>
      <c r="Y19" s="20">
        <v>5</v>
      </c>
      <c r="Z19" s="20">
        <v>4</v>
      </c>
      <c r="AA19" s="20">
        <v>5</v>
      </c>
      <c r="AB19" s="20">
        <v>4</v>
      </c>
      <c r="AC19" s="20">
        <v>5</v>
      </c>
      <c r="AD19" s="20">
        <v>5</v>
      </c>
      <c r="AE19" s="20">
        <v>4</v>
      </c>
      <c r="AF19" s="20">
        <v>5</v>
      </c>
      <c r="AG19" s="20">
        <v>5</v>
      </c>
      <c r="AH19" s="20">
        <v>5</v>
      </c>
      <c r="AI19" s="20">
        <v>5</v>
      </c>
      <c r="AJ19" s="20">
        <v>5</v>
      </c>
      <c r="AK19" s="20">
        <v>5</v>
      </c>
      <c r="AL19" s="20">
        <v>5</v>
      </c>
      <c r="AM19" s="20">
        <v>5</v>
      </c>
      <c r="AN19" s="20">
        <v>5</v>
      </c>
      <c r="AO19" s="20">
        <v>5</v>
      </c>
      <c r="AP19" s="20">
        <v>5</v>
      </c>
      <c r="AQ19" s="20">
        <v>5</v>
      </c>
      <c r="AR19" s="20"/>
      <c r="AS19" s="20"/>
      <c r="AT19" s="20" t="s">
        <v>196</v>
      </c>
      <c r="AU19" s="20" t="s">
        <v>197</v>
      </c>
      <c r="AV19" s="20" t="s">
        <v>198</v>
      </c>
      <c r="AW19" s="20" t="s">
        <v>199</v>
      </c>
      <c r="AX19" s="20" t="b">
        <f>TRUE()</f>
        <v>1</v>
      </c>
      <c r="AY19" s="20" t="b">
        <f>FALSE()</f>
        <v>0</v>
      </c>
      <c r="AZ19" s="26">
        <f t="shared" si="0"/>
        <v>4.4000000000000004</v>
      </c>
      <c r="BA19" s="26">
        <f t="shared" si="4"/>
        <v>4</v>
      </c>
      <c r="BB19" s="26">
        <f t="shared" si="5"/>
        <v>4.8</v>
      </c>
      <c r="BC19" s="26">
        <f t="shared" si="6"/>
        <v>4.5999999999999996</v>
      </c>
      <c r="BD19" s="26">
        <f t="shared" si="7"/>
        <v>4.8</v>
      </c>
      <c r="BE19" s="26">
        <f t="shared" si="8"/>
        <v>5</v>
      </c>
      <c r="BF19" s="26">
        <f t="shared" si="9"/>
        <v>5</v>
      </c>
      <c r="BG19" s="23">
        <f t="shared" si="1"/>
        <v>1</v>
      </c>
      <c r="BH19" s="23">
        <f t="shared" si="10"/>
        <v>1</v>
      </c>
      <c r="BI19" s="23">
        <f t="shared" si="11"/>
        <v>1</v>
      </c>
      <c r="BJ19" s="23">
        <f t="shared" si="12"/>
        <v>1</v>
      </c>
      <c r="BK19" s="23">
        <f t="shared" si="13"/>
        <v>1</v>
      </c>
      <c r="BL19" s="23">
        <f t="shared" si="14"/>
        <v>1</v>
      </c>
      <c r="BM19" s="23">
        <f t="shared" si="15"/>
        <v>1</v>
      </c>
    </row>
    <row r="20" spans="1:65" s="29" customFormat="1" ht="22.5" customHeight="1">
      <c r="A20" s="25">
        <v>46077.613129537</v>
      </c>
      <c r="B20" s="20" t="s">
        <v>200</v>
      </c>
      <c r="C20" s="20" t="s">
        <v>74</v>
      </c>
      <c r="D20" s="20" t="s">
        <v>98</v>
      </c>
      <c r="E20" s="20" t="s">
        <v>201</v>
      </c>
      <c r="F20" s="20"/>
      <c r="G20" s="20" t="s">
        <v>202</v>
      </c>
      <c r="H20" s="20" t="s">
        <v>203</v>
      </c>
      <c r="I20" s="20" t="s">
        <v>102</v>
      </c>
      <c r="J20" s="20" t="s">
        <v>166</v>
      </c>
      <c r="K20" s="20">
        <v>5</v>
      </c>
      <c r="L20" s="20">
        <v>5</v>
      </c>
      <c r="M20" s="20">
        <v>5</v>
      </c>
      <c r="N20" s="20">
        <v>5</v>
      </c>
      <c r="O20" s="20">
        <v>5</v>
      </c>
      <c r="P20" s="20">
        <v>5</v>
      </c>
      <c r="Q20" s="20">
        <v>5</v>
      </c>
      <c r="R20" s="20">
        <v>5</v>
      </c>
      <c r="S20" s="20">
        <v>5</v>
      </c>
      <c r="T20" s="20">
        <v>5</v>
      </c>
      <c r="U20" s="20">
        <v>5</v>
      </c>
      <c r="V20" s="20">
        <v>5</v>
      </c>
      <c r="W20" s="20">
        <v>5</v>
      </c>
      <c r="X20" s="20">
        <v>5</v>
      </c>
      <c r="Y20" s="20">
        <v>5</v>
      </c>
      <c r="Z20" s="20">
        <v>5</v>
      </c>
      <c r="AA20" s="20">
        <v>5</v>
      </c>
      <c r="AB20" s="20">
        <v>5</v>
      </c>
      <c r="AC20" s="20">
        <v>5</v>
      </c>
      <c r="AD20" s="20">
        <v>5</v>
      </c>
      <c r="AE20" s="20">
        <v>4</v>
      </c>
      <c r="AF20" s="20">
        <v>4</v>
      </c>
      <c r="AG20" s="20">
        <v>4</v>
      </c>
      <c r="AH20" s="20">
        <v>4</v>
      </c>
      <c r="AI20" s="20">
        <v>4</v>
      </c>
      <c r="AJ20" s="20">
        <v>4</v>
      </c>
      <c r="AK20" s="20">
        <v>4</v>
      </c>
      <c r="AL20" s="20">
        <v>4</v>
      </c>
      <c r="AM20" s="20">
        <v>4</v>
      </c>
      <c r="AN20" s="20">
        <v>4</v>
      </c>
      <c r="AO20" s="20">
        <v>4</v>
      </c>
      <c r="AP20" s="20">
        <v>4</v>
      </c>
      <c r="AQ20" s="20">
        <v>4</v>
      </c>
      <c r="AR20" s="20"/>
      <c r="AS20" s="20"/>
      <c r="AT20" s="20" t="s">
        <v>204</v>
      </c>
      <c r="AU20" s="20" t="s">
        <v>205</v>
      </c>
      <c r="AV20" s="20" t="s">
        <v>206</v>
      </c>
      <c r="AW20" s="20" t="s">
        <v>207</v>
      </c>
      <c r="AX20" s="20" t="b">
        <f>TRUE()</f>
        <v>1</v>
      </c>
      <c r="AY20" s="20" t="b">
        <f>FALSE()</f>
        <v>0</v>
      </c>
      <c r="AZ20" s="26">
        <f t="shared" si="0"/>
        <v>5</v>
      </c>
      <c r="BA20" s="26">
        <f t="shared" si="4"/>
        <v>5</v>
      </c>
      <c r="BB20" s="26">
        <f t="shared" si="5"/>
        <v>5</v>
      </c>
      <c r="BC20" s="26">
        <f t="shared" si="6"/>
        <v>5</v>
      </c>
      <c r="BD20" s="26">
        <f t="shared" si="7"/>
        <v>4</v>
      </c>
      <c r="BE20" s="26">
        <f t="shared" si="8"/>
        <v>4</v>
      </c>
      <c r="BF20" s="26">
        <f t="shared" si="9"/>
        <v>4</v>
      </c>
      <c r="BG20" s="23">
        <f t="shared" si="1"/>
        <v>1</v>
      </c>
      <c r="BH20" s="23">
        <f t="shared" si="10"/>
        <v>1</v>
      </c>
      <c r="BI20" s="23">
        <f t="shared" si="11"/>
        <v>1</v>
      </c>
      <c r="BJ20" s="23">
        <f t="shared" si="12"/>
        <v>1</v>
      </c>
      <c r="BK20" s="23">
        <f t="shared" si="13"/>
        <v>1</v>
      </c>
      <c r="BL20" s="23">
        <f t="shared" si="14"/>
        <v>1</v>
      </c>
      <c r="BM20" s="23">
        <f t="shared" si="15"/>
        <v>1</v>
      </c>
    </row>
    <row r="21" spans="1:65" s="29" customFormat="1" ht="22.5" customHeight="1">
      <c r="A21" s="25">
        <v>46077.709152338</v>
      </c>
      <c r="B21" s="20" t="s">
        <v>208</v>
      </c>
      <c r="C21" s="20" t="s">
        <v>74</v>
      </c>
      <c r="D21" s="20" t="s">
        <v>98</v>
      </c>
      <c r="E21" s="20" t="s">
        <v>99</v>
      </c>
      <c r="F21" s="20"/>
      <c r="G21" s="20" t="s">
        <v>209</v>
      </c>
      <c r="H21" s="20" t="s">
        <v>191</v>
      </c>
      <c r="I21" s="20" t="s">
        <v>79</v>
      </c>
      <c r="J21" s="20" t="s">
        <v>210</v>
      </c>
      <c r="K21" s="20">
        <v>5</v>
      </c>
      <c r="L21" s="20">
        <v>5</v>
      </c>
      <c r="M21" s="20">
        <v>5</v>
      </c>
      <c r="N21" s="20">
        <v>5</v>
      </c>
      <c r="O21" s="20">
        <v>5</v>
      </c>
      <c r="P21" s="20">
        <v>5</v>
      </c>
      <c r="Q21" s="20">
        <v>4</v>
      </c>
      <c r="R21" s="20">
        <v>5</v>
      </c>
      <c r="S21" s="20">
        <v>5</v>
      </c>
      <c r="T21" s="20">
        <v>5</v>
      </c>
      <c r="U21" s="20">
        <v>5</v>
      </c>
      <c r="V21" s="20">
        <v>5</v>
      </c>
      <c r="W21" s="20">
        <v>5</v>
      </c>
      <c r="X21" s="20">
        <v>5</v>
      </c>
      <c r="Y21" s="20">
        <v>5</v>
      </c>
      <c r="Z21" s="20">
        <v>3</v>
      </c>
      <c r="AA21" s="20">
        <v>5</v>
      </c>
      <c r="AB21" s="20">
        <v>5</v>
      </c>
      <c r="AC21" s="20">
        <v>5</v>
      </c>
      <c r="AD21" s="20">
        <v>5</v>
      </c>
      <c r="AE21" s="20">
        <v>4</v>
      </c>
      <c r="AF21" s="20">
        <v>4</v>
      </c>
      <c r="AG21" s="20">
        <v>4</v>
      </c>
      <c r="AH21" s="20">
        <v>5</v>
      </c>
      <c r="AI21" s="20">
        <v>5</v>
      </c>
      <c r="AJ21" s="20">
        <v>5</v>
      </c>
      <c r="AK21" s="20">
        <v>4</v>
      </c>
      <c r="AL21" s="20">
        <v>4</v>
      </c>
      <c r="AM21" s="20">
        <v>4</v>
      </c>
      <c r="AN21" s="20">
        <v>5</v>
      </c>
      <c r="AO21" s="20">
        <v>5</v>
      </c>
      <c r="AP21" s="20">
        <v>5</v>
      </c>
      <c r="AQ21" s="20">
        <v>5</v>
      </c>
      <c r="AR21" s="20">
        <v>5</v>
      </c>
      <c r="AS21" s="20">
        <v>5</v>
      </c>
      <c r="AT21" s="20" t="s">
        <v>211</v>
      </c>
      <c r="AU21" s="20" t="s">
        <v>212</v>
      </c>
      <c r="AV21" s="20" t="s">
        <v>213</v>
      </c>
      <c r="AW21" s="20" t="s">
        <v>214</v>
      </c>
      <c r="AX21" s="20" t="b">
        <f>TRUE()</f>
        <v>1</v>
      </c>
      <c r="AY21" s="20" t="b">
        <f>FALSE()</f>
        <v>0</v>
      </c>
      <c r="AZ21" s="26">
        <f t="shared" si="0"/>
        <v>5</v>
      </c>
      <c r="BA21" s="26">
        <f t="shared" si="4"/>
        <v>4.8</v>
      </c>
      <c r="BB21" s="26">
        <f t="shared" si="5"/>
        <v>5</v>
      </c>
      <c r="BC21" s="26">
        <f t="shared" si="6"/>
        <v>4.5999999999999996</v>
      </c>
      <c r="BD21" s="26">
        <f t="shared" si="7"/>
        <v>4.4000000000000004</v>
      </c>
      <c r="BE21" s="26">
        <f t="shared" si="8"/>
        <v>4.4000000000000004</v>
      </c>
      <c r="BF21" s="26">
        <f t="shared" si="9"/>
        <v>5</v>
      </c>
      <c r="BG21" s="23">
        <f t="shared" si="1"/>
        <v>1</v>
      </c>
      <c r="BH21" s="23">
        <f t="shared" si="10"/>
        <v>1</v>
      </c>
      <c r="BI21" s="23">
        <f t="shared" si="11"/>
        <v>1</v>
      </c>
      <c r="BJ21" s="23">
        <f t="shared" si="12"/>
        <v>1</v>
      </c>
      <c r="BK21" s="23">
        <f t="shared" si="13"/>
        <v>1</v>
      </c>
      <c r="BL21" s="23">
        <f t="shared" si="14"/>
        <v>1</v>
      </c>
      <c r="BM21" s="23">
        <f t="shared" si="15"/>
        <v>1</v>
      </c>
    </row>
    <row r="22" spans="1:65" ht="22.5" customHeight="1">
      <c r="A22" s="25">
        <v>46078.202020266202</v>
      </c>
      <c r="B22" s="20" t="s">
        <v>215</v>
      </c>
      <c r="C22" s="20" t="s">
        <v>74</v>
      </c>
      <c r="D22" s="20" t="s">
        <v>98</v>
      </c>
      <c r="E22" s="20" t="s">
        <v>216</v>
      </c>
      <c r="F22" s="20"/>
      <c r="G22" s="20" t="s">
        <v>217</v>
      </c>
      <c r="H22" s="20" t="s">
        <v>174</v>
      </c>
      <c r="I22" s="20" t="s">
        <v>79</v>
      </c>
      <c r="J22" s="20" t="s">
        <v>175</v>
      </c>
      <c r="K22" s="20">
        <v>4</v>
      </c>
      <c r="L22" s="20">
        <v>4</v>
      </c>
      <c r="M22" s="20">
        <v>4</v>
      </c>
      <c r="N22" s="20">
        <v>4</v>
      </c>
      <c r="O22" s="20">
        <v>4</v>
      </c>
      <c r="P22" s="20">
        <v>4</v>
      </c>
      <c r="Q22" s="20">
        <v>4</v>
      </c>
      <c r="R22" s="20">
        <v>4</v>
      </c>
      <c r="S22" s="20">
        <v>4</v>
      </c>
      <c r="T22" s="20">
        <v>4</v>
      </c>
      <c r="U22" s="20">
        <v>2</v>
      </c>
      <c r="V22" s="20">
        <v>4</v>
      </c>
      <c r="W22" s="20">
        <v>4</v>
      </c>
      <c r="X22" s="20">
        <v>4</v>
      </c>
      <c r="Y22" s="20">
        <v>4</v>
      </c>
      <c r="Z22" s="20">
        <v>4</v>
      </c>
      <c r="AA22" s="20">
        <v>5</v>
      </c>
      <c r="AB22" s="20">
        <v>4</v>
      </c>
      <c r="AC22" s="20">
        <v>4</v>
      </c>
      <c r="AD22" s="20">
        <v>4</v>
      </c>
      <c r="AE22" s="20">
        <v>5</v>
      </c>
      <c r="AF22" s="20">
        <v>5</v>
      </c>
      <c r="AG22" s="20">
        <v>5</v>
      </c>
      <c r="AH22" s="20">
        <v>5</v>
      </c>
      <c r="AI22" s="20">
        <v>5</v>
      </c>
      <c r="AJ22" s="20">
        <v>5</v>
      </c>
      <c r="AK22" s="20">
        <v>4</v>
      </c>
      <c r="AL22" s="20">
        <v>5</v>
      </c>
      <c r="AM22" s="20">
        <v>5</v>
      </c>
      <c r="AN22" s="20">
        <v>5</v>
      </c>
      <c r="AO22" s="20">
        <v>5</v>
      </c>
      <c r="AP22" s="20">
        <v>5</v>
      </c>
      <c r="AQ22" s="20">
        <v>5</v>
      </c>
      <c r="AR22" s="20">
        <v>5</v>
      </c>
      <c r="AS22" s="20">
        <v>5</v>
      </c>
      <c r="AT22" s="20" t="s">
        <v>218</v>
      </c>
      <c r="AU22" s="20" t="s">
        <v>219</v>
      </c>
      <c r="AV22" s="20" t="s">
        <v>220</v>
      </c>
      <c r="AW22" s="20" t="s">
        <v>221</v>
      </c>
      <c r="AX22" s="20" t="b">
        <f>TRUE()</f>
        <v>1</v>
      </c>
      <c r="AY22" s="20" t="b">
        <f>FALSE()</f>
        <v>0</v>
      </c>
      <c r="AZ22" s="26">
        <f t="shared" si="0"/>
        <v>4</v>
      </c>
      <c r="BA22" s="26">
        <f t="shared" si="4"/>
        <v>4</v>
      </c>
      <c r="BB22" s="26">
        <f t="shared" si="5"/>
        <v>3.6</v>
      </c>
      <c r="BC22" s="26">
        <f t="shared" si="6"/>
        <v>4.2</v>
      </c>
      <c r="BD22" s="26">
        <f t="shared" si="7"/>
        <v>5</v>
      </c>
      <c r="BE22" s="26">
        <f t="shared" si="8"/>
        <v>4.8</v>
      </c>
      <c r="BF22" s="26">
        <f t="shared" si="9"/>
        <v>5</v>
      </c>
      <c r="BG22" s="23">
        <f t="shared" si="1"/>
        <v>1</v>
      </c>
      <c r="BH22" s="23">
        <f t="shared" si="10"/>
        <v>1</v>
      </c>
      <c r="BI22" s="23">
        <f t="shared" si="11"/>
        <v>0</v>
      </c>
      <c r="BJ22" s="23">
        <f t="shared" si="12"/>
        <v>1</v>
      </c>
      <c r="BK22" s="23">
        <f t="shared" si="13"/>
        <v>1</v>
      </c>
      <c r="BL22" s="23">
        <f t="shared" si="14"/>
        <v>1</v>
      </c>
      <c r="BM22" s="23">
        <f t="shared" si="15"/>
        <v>1</v>
      </c>
    </row>
    <row r="23" spans="1:65" ht="22.5" customHeight="1">
      <c r="A23" s="25">
        <v>46078.314136250003</v>
      </c>
      <c r="B23" s="20" t="s">
        <v>222</v>
      </c>
      <c r="C23" s="20" t="s">
        <v>74</v>
      </c>
      <c r="D23" s="20" t="s">
        <v>188</v>
      </c>
      <c r="E23" s="20" t="s">
        <v>223</v>
      </c>
      <c r="F23" s="20"/>
      <c r="G23" s="20" t="s">
        <v>224</v>
      </c>
      <c r="H23" s="20" t="s">
        <v>191</v>
      </c>
      <c r="I23" s="20" t="s">
        <v>111</v>
      </c>
      <c r="J23" s="20" t="s">
        <v>80</v>
      </c>
      <c r="K23" s="20">
        <v>4</v>
      </c>
      <c r="L23" s="20">
        <v>4</v>
      </c>
      <c r="M23" s="20">
        <v>4</v>
      </c>
      <c r="N23" s="20">
        <v>4</v>
      </c>
      <c r="O23" s="20">
        <v>4</v>
      </c>
      <c r="P23" s="20">
        <v>4</v>
      </c>
      <c r="Q23" s="20">
        <v>4</v>
      </c>
      <c r="R23" s="20">
        <v>4</v>
      </c>
      <c r="S23" s="20">
        <v>4</v>
      </c>
      <c r="T23" s="20">
        <v>5</v>
      </c>
      <c r="U23" s="20">
        <v>5</v>
      </c>
      <c r="V23" s="20">
        <v>5</v>
      </c>
      <c r="W23" s="20">
        <v>5</v>
      </c>
      <c r="X23" s="20">
        <v>4</v>
      </c>
      <c r="Y23" s="20">
        <v>4</v>
      </c>
      <c r="Z23" s="20">
        <v>4</v>
      </c>
      <c r="AA23" s="20">
        <v>4</v>
      </c>
      <c r="AB23" s="20">
        <v>4</v>
      </c>
      <c r="AC23" s="20">
        <v>4</v>
      </c>
      <c r="AD23" s="20">
        <v>4</v>
      </c>
      <c r="AE23" s="20">
        <v>4</v>
      </c>
      <c r="AF23" s="20">
        <v>4</v>
      </c>
      <c r="AG23" s="20">
        <v>4</v>
      </c>
      <c r="AH23" s="20">
        <v>4</v>
      </c>
      <c r="AI23" s="20">
        <v>4</v>
      </c>
      <c r="AJ23" s="20">
        <v>4</v>
      </c>
      <c r="AK23" s="20">
        <v>4</v>
      </c>
      <c r="AL23" s="20">
        <v>4</v>
      </c>
      <c r="AM23" s="20">
        <v>4</v>
      </c>
      <c r="AN23" s="20">
        <v>3</v>
      </c>
      <c r="AO23" s="20">
        <v>4</v>
      </c>
      <c r="AP23" s="20">
        <v>4</v>
      </c>
      <c r="AQ23" s="20">
        <v>4</v>
      </c>
      <c r="AR23" s="20">
        <v>4</v>
      </c>
      <c r="AS23" s="20">
        <v>4</v>
      </c>
      <c r="AT23" s="20" t="s">
        <v>225</v>
      </c>
      <c r="AU23" s="20" t="s">
        <v>226</v>
      </c>
      <c r="AV23" s="20" t="s">
        <v>227</v>
      </c>
      <c r="AW23" s="20" t="s">
        <v>228</v>
      </c>
      <c r="AX23" s="20" t="b">
        <f>TRUE()</f>
        <v>1</v>
      </c>
      <c r="AY23" s="20" t="b">
        <f>FALSE()</f>
        <v>0</v>
      </c>
      <c r="AZ23" s="26">
        <f t="shared" si="0"/>
        <v>4</v>
      </c>
      <c r="BA23" s="26">
        <f t="shared" si="4"/>
        <v>4.2</v>
      </c>
      <c r="BB23" s="26">
        <f t="shared" si="5"/>
        <v>4.5999999999999996</v>
      </c>
      <c r="BC23" s="26">
        <f t="shared" si="6"/>
        <v>4</v>
      </c>
      <c r="BD23" s="26">
        <f t="shared" si="7"/>
        <v>4</v>
      </c>
      <c r="BE23" s="26">
        <f t="shared" si="8"/>
        <v>3.8</v>
      </c>
      <c r="BF23" s="26">
        <f t="shared" si="9"/>
        <v>4</v>
      </c>
      <c r="BG23" s="23">
        <f t="shared" si="1"/>
        <v>1</v>
      </c>
      <c r="BH23" s="23">
        <f t="shared" si="10"/>
        <v>1</v>
      </c>
      <c r="BI23" s="23">
        <f t="shared" si="11"/>
        <v>1</v>
      </c>
      <c r="BJ23" s="23">
        <f t="shared" si="12"/>
        <v>1</v>
      </c>
      <c r="BK23" s="23">
        <f t="shared" si="13"/>
        <v>1</v>
      </c>
      <c r="BL23" s="23">
        <f t="shared" si="14"/>
        <v>0</v>
      </c>
      <c r="BM23" s="23">
        <f t="shared" si="15"/>
        <v>1</v>
      </c>
    </row>
    <row r="24" spans="1:65" s="29" customFormat="1" ht="22.5" hidden="1" customHeight="1">
      <c r="A24" s="30">
        <v>46078.327176365703</v>
      </c>
      <c r="B24" s="31" t="s">
        <v>229</v>
      </c>
      <c r="C24" s="20" t="s">
        <v>74</v>
      </c>
      <c r="D24" s="31" t="s">
        <v>188</v>
      </c>
      <c r="E24" s="31" t="s">
        <v>230</v>
      </c>
      <c r="F24" s="31" t="s">
        <v>231</v>
      </c>
      <c r="G24" s="31" t="s">
        <v>232</v>
      </c>
      <c r="H24" s="31"/>
      <c r="I24" s="31" t="s">
        <v>119</v>
      </c>
      <c r="J24" s="31" t="s">
        <v>135</v>
      </c>
      <c r="K24" s="31">
        <v>5</v>
      </c>
      <c r="L24" s="31">
        <v>5</v>
      </c>
      <c r="M24" s="31">
        <v>4</v>
      </c>
      <c r="N24" s="31">
        <v>5</v>
      </c>
      <c r="O24" s="31">
        <v>5</v>
      </c>
      <c r="P24" s="31">
        <v>4</v>
      </c>
      <c r="Q24" s="31">
        <v>4</v>
      </c>
      <c r="R24" s="31">
        <v>4</v>
      </c>
      <c r="S24" s="31">
        <v>5</v>
      </c>
      <c r="T24" s="31">
        <v>4</v>
      </c>
      <c r="U24" s="31">
        <v>5</v>
      </c>
      <c r="V24" s="31">
        <v>5</v>
      </c>
      <c r="W24" s="31">
        <v>5</v>
      </c>
      <c r="X24" s="31">
        <v>4</v>
      </c>
      <c r="Y24" s="31">
        <v>5</v>
      </c>
      <c r="Z24" s="31">
        <v>5</v>
      </c>
      <c r="AA24" s="31">
        <v>5</v>
      </c>
      <c r="AB24" s="31">
        <v>4</v>
      </c>
      <c r="AC24" s="31">
        <v>5</v>
      </c>
      <c r="AD24" s="31">
        <v>5</v>
      </c>
      <c r="AE24" s="31"/>
      <c r="AF24" s="20">
        <v>3</v>
      </c>
      <c r="AG24" s="20">
        <v>4</v>
      </c>
      <c r="AH24" s="20">
        <v>5</v>
      </c>
      <c r="AI24" s="20">
        <v>4</v>
      </c>
      <c r="AJ24" s="20">
        <v>4</v>
      </c>
      <c r="AK24" s="20">
        <v>4</v>
      </c>
      <c r="AL24" s="20">
        <v>5</v>
      </c>
      <c r="AM24" s="20">
        <v>5</v>
      </c>
      <c r="AN24" s="20">
        <v>5</v>
      </c>
      <c r="AO24" s="20">
        <v>5</v>
      </c>
      <c r="AP24" s="20">
        <v>5</v>
      </c>
      <c r="AQ24" s="20">
        <v>5</v>
      </c>
      <c r="AR24" s="20">
        <v>5</v>
      </c>
      <c r="AS24" s="20">
        <v>5</v>
      </c>
      <c r="AT24" s="31" t="s">
        <v>233</v>
      </c>
      <c r="AU24" s="31" t="s">
        <v>234</v>
      </c>
      <c r="AV24" s="31" t="s">
        <v>235</v>
      </c>
      <c r="AW24" s="31" t="s">
        <v>236</v>
      </c>
      <c r="AX24" s="31" t="b">
        <f>FALSE()</f>
        <v>0</v>
      </c>
      <c r="AY24" s="31" t="b">
        <f>TRUE()</f>
        <v>1</v>
      </c>
      <c r="AZ24" s="29">
        <f t="shared" si="0"/>
        <v>4.8</v>
      </c>
      <c r="BG24" s="29">
        <f t="shared" si="1"/>
        <v>1</v>
      </c>
    </row>
    <row r="25" spans="1:65" s="29" customFormat="1" ht="22.5" hidden="1" customHeight="1">
      <c r="A25" s="30">
        <v>46078.364053622703</v>
      </c>
      <c r="B25" s="31" t="s">
        <v>237</v>
      </c>
      <c r="C25" s="20" t="s">
        <v>74</v>
      </c>
      <c r="D25" s="31" t="s">
        <v>98</v>
      </c>
      <c r="E25" s="31" t="s">
        <v>99</v>
      </c>
      <c r="F25" s="31" t="s">
        <v>238</v>
      </c>
      <c r="G25" s="31" t="s">
        <v>239</v>
      </c>
      <c r="H25" s="31"/>
      <c r="I25" s="31" t="s">
        <v>119</v>
      </c>
      <c r="J25" s="31" t="s">
        <v>151</v>
      </c>
      <c r="K25" s="31">
        <v>3</v>
      </c>
      <c r="L25" s="31">
        <v>4</v>
      </c>
      <c r="M25" s="31">
        <v>4</v>
      </c>
      <c r="N25" s="31">
        <v>4</v>
      </c>
      <c r="O25" s="31">
        <v>4</v>
      </c>
      <c r="P25" s="31">
        <v>4</v>
      </c>
      <c r="Q25" s="31">
        <v>4</v>
      </c>
      <c r="R25" s="31">
        <v>4</v>
      </c>
      <c r="S25" s="31">
        <v>5</v>
      </c>
      <c r="T25" s="31">
        <v>5</v>
      </c>
      <c r="U25" s="31">
        <v>4</v>
      </c>
      <c r="V25" s="31">
        <v>4</v>
      </c>
      <c r="W25" s="31">
        <v>5</v>
      </c>
      <c r="X25" s="31">
        <v>4</v>
      </c>
      <c r="Y25" s="31">
        <v>5</v>
      </c>
      <c r="Z25" s="31">
        <v>3</v>
      </c>
      <c r="AA25" s="31">
        <v>4</v>
      </c>
      <c r="AB25" s="31">
        <v>4</v>
      </c>
      <c r="AC25" s="31">
        <v>4</v>
      </c>
      <c r="AD25" s="31">
        <v>4</v>
      </c>
      <c r="AE25" s="31"/>
      <c r="AF25" s="20">
        <v>5</v>
      </c>
      <c r="AG25" s="20">
        <v>5</v>
      </c>
      <c r="AH25" s="20">
        <v>5</v>
      </c>
      <c r="AI25" s="20">
        <v>5</v>
      </c>
      <c r="AJ25" s="20">
        <v>5</v>
      </c>
      <c r="AK25" s="20">
        <v>4</v>
      </c>
      <c r="AL25" s="20">
        <v>4</v>
      </c>
      <c r="AM25" s="20">
        <v>4</v>
      </c>
      <c r="AN25" s="20">
        <v>4</v>
      </c>
      <c r="AO25" s="20">
        <v>4</v>
      </c>
      <c r="AP25" s="20">
        <v>4</v>
      </c>
      <c r="AQ25" s="20">
        <v>4</v>
      </c>
      <c r="AR25" s="20">
        <v>4</v>
      </c>
      <c r="AS25" s="20">
        <v>4</v>
      </c>
      <c r="AT25" s="31" t="s">
        <v>240</v>
      </c>
      <c r="AU25" s="31" t="s">
        <v>241</v>
      </c>
      <c r="AV25" s="31" t="s">
        <v>242</v>
      </c>
      <c r="AW25" s="31" t="s">
        <v>243</v>
      </c>
      <c r="AX25" s="31" t="b">
        <f>FALSE()</f>
        <v>0</v>
      </c>
      <c r="AY25" s="31" t="b">
        <f>TRUE()</f>
        <v>1</v>
      </c>
      <c r="AZ25" s="29">
        <f t="shared" si="0"/>
        <v>3.8</v>
      </c>
      <c r="BG25" s="29">
        <f t="shared" si="1"/>
        <v>0</v>
      </c>
    </row>
    <row r="26" spans="1:65" s="29" customFormat="1" ht="22.5" customHeight="1">
      <c r="A26" s="25">
        <v>46078.408394363403</v>
      </c>
      <c r="B26" s="20" t="s">
        <v>244</v>
      </c>
      <c r="C26" s="20" t="s">
        <v>74</v>
      </c>
      <c r="D26" s="20" t="s">
        <v>141</v>
      </c>
      <c r="E26" s="20" t="s">
        <v>76</v>
      </c>
      <c r="F26" s="20"/>
      <c r="G26" s="20" t="s">
        <v>245</v>
      </c>
      <c r="H26" s="20" t="s">
        <v>158</v>
      </c>
      <c r="I26" s="20" t="s">
        <v>90</v>
      </c>
      <c r="J26" s="20" t="s">
        <v>166</v>
      </c>
      <c r="K26" s="20">
        <v>5</v>
      </c>
      <c r="L26" s="20">
        <v>5</v>
      </c>
      <c r="M26" s="20">
        <v>5</v>
      </c>
      <c r="N26" s="20">
        <v>5</v>
      </c>
      <c r="O26" s="20">
        <v>5</v>
      </c>
      <c r="P26" s="20">
        <v>4</v>
      </c>
      <c r="Q26" s="20">
        <v>4</v>
      </c>
      <c r="R26" s="20">
        <v>4</v>
      </c>
      <c r="S26" s="20">
        <v>4</v>
      </c>
      <c r="T26" s="20">
        <v>4</v>
      </c>
      <c r="U26" s="20">
        <v>4</v>
      </c>
      <c r="V26" s="20">
        <v>4</v>
      </c>
      <c r="W26" s="20">
        <v>4</v>
      </c>
      <c r="X26" s="20">
        <v>4</v>
      </c>
      <c r="Y26" s="20">
        <v>4</v>
      </c>
      <c r="Z26" s="20">
        <v>3</v>
      </c>
      <c r="AA26" s="20">
        <v>4</v>
      </c>
      <c r="AB26" s="20">
        <v>5</v>
      </c>
      <c r="AC26" s="20">
        <v>4</v>
      </c>
      <c r="AD26" s="20">
        <v>4</v>
      </c>
      <c r="AE26" s="20">
        <v>4</v>
      </c>
      <c r="AF26" s="20">
        <v>5</v>
      </c>
      <c r="AG26" s="20">
        <v>5</v>
      </c>
      <c r="AH26" s="20">
        <v>5</v>
      </c>
      <c r="AI26" s="20">
        <v>5</v>
      </c>
      <c r="AJ26" s="20">
        <v>5</v>
      </c>
      <c r="AK26" s="20">
        <v>5</v>
      </c>
      <c r="AL26" s="20">
        <v>4</v>
      </c>
      <c r="AM26" s="20">
        <v>4</v>
      </c>
      <c r="AN26" s="20">
        <v>5</v>
      </c>
      <c r="AO26" s="20">
        <v>5</v>
      </c>
      <c r="AP26" s="20">
        <v>5</v>
      </c>
      <c r="AQ26" s="20">
        <v>5</v>
      </c>
      <c r="AR26" s="20">
        <v>5</v>
      </c>
      <c r="AS26" s="20">
        <v>5</v>
      </c>
      <c r="AT26" s="20" t="s">
        <v>246</v>
      </c>
      <c r="AU26" s="20" t="s">
        <v>247</v>
      </c>
      <c r="AV26" s="20" t="s">
        <v>248</v>
      </c>
      <c r="AW26" s="20" t="s">
        <v>249</v>
      </c>
      <c r="AX26" s="20" t="b">
        <f>TRUE()</f>
        <v>1</v>
      </c>
      <c r="AY26" s="20" t="b">
        <f>FALSE()</f>
        <v>0</v>
      </c>
      <c r="AZ26" s="26">
        <f t="shared" si="0"/>
        <v>5</v>
      </c>
      <c r="BA26" s="26">
        <f>AVERAGE(P26:T26)</f>
        <v>4</v>
      </c>
      <c r="BB26" s="26">
        <f>AVERAGE(U26:Y26)</f>
        <v>4</v>
      </c>
      <c r="BC26" s="26">
        <f>AVERAGE(Z26:AD26)</f>
        <v>4</v>
      </c>
      <c r="BD26" s="26">
        <f>AVERAGE(AE26:AI26)</f>
        <v>4.8</v>
      </c>
      <c r="BE26" s="26">
        <f>AVERAGE(AJ26:AN26)</f>
        <v>4.5999999999999996</v>
      </c>
      <c r="BF26" s="26">
        <f>AVERAGE(AO26:AS26)</f>
        <v>5</v>
      </c>
      <c r="BG26" s="23">
        <f t="shared" si="1"/>
        <v>1</v>
      </c>
      <c r="BH26" s="23">
        <f t="shared" ref="BH26:BM28" si="16">IF(BA26&gt;=4,1,0)</f>
        <v>1</v>
      </c>
      <c r="BI26" s="23">
        <f t="shared" si="16"/>
        <v>1</v>
      </c>
      <c r="BJ26" s="23">
        <f t="shared" si="16"/>
        <v>1</v>
      </c>
      <c r="BK26" s="23">
        <f t="shared" si="16"/>
        <v>1</v>
      </c>
      <c r="BL26" s="23">
        <f t="shared" si="16"/>
        <v>1</v>
      </c>
      <c r="BM26" s="23">
        <f t="shared" si="16"/>
        <v>1</v>
      </c>
    </row>
    <row r="27" spans="1:65" s="32" customFormat="1" ht="22.5" customHeight="1">
      <c r="A27" s="25">
        <v>46078.439629398199</v>
      </c>
      <c r="B27" s="20" t="s">
        <v>250</v>
      </c>
      <c r="C27" s="20" t="s">
        <v>74</v>
      </c>
      <c r="D27" s="20" t="s">
        <v>141</v>
      </c>
      <c r="E27" s="20" t="s">
        <v>76</v>
      </c>
      <c r="F27" s="20"/>
      <c r="G27" s="20" t="s">
        <v>251</v>
      </c>
      <c r="H27" s="20" t="s">
        <v>174</v>
      </c>
      <c r="I27" s="20" t="s">
        <v>79</v>
      </c>
      <c r="J27" s="20" t="s">
        <v>80</v>
      </c>
      <c r="K27" s="20">
        <v>5</v>
      </c>
      <c r="L27" s="20">
        <v>5</v>
      </c>
      <c r="M27" s="20">
        <v>5</v>
      </c>
      <c r="N27" s="20">
        <v>5</v>
      </c>
      <c r="O27" s="20">
        <v>5</v>
      </c>
      <c r="P27" s="20">
        <v>5</v>
      </c>
      <c r="Q27" s="20">
        <v>4</v>
      </c>
      <c r="R27" s="20">
        <v>5</v>
      </c>
      <c r="S27" s="20">
        <v>5</v>
      </c>
      <c r="T27" s="20">
        <v>5</v>
      </c>
      <c r="U27" s="20">
        <v>5</v>
      </c>
      <c r="V27" s="20">
        <v>5</v>
      </c>
      <c r="W27" s="20">
        <v>5</v>
      </c>
      <c r="X27" s="20">
        <v>5</v>
      </c>
      <c r="Y27" s="20">
        <v>5</v>
      </c>
      <c r="Z27" s="20">
        <v>5</v>
      </c>
      <c r="AA27" s="20">
        <v>5</v>
      </c>
      <c r="AB27" s="20">
        <v>5</v>
      </c>
      <c r="AC27" s="20">
        <v>5</v>
      </c>
      <c r="AD27" s="20">
        <v>5</v>
      </c>
      <c r="AE27" s="20">
        <v>4</v>
      </c>
      <c r="AF27" s="20">
        <v>4</v>
      </c>
      <c r="AG27" s="20">
        <v>4</v>
      </c>
      <c r="AH27" s="20">
        <v>4</v>
      </c>
      <c r="AI27" s="20">
        <v>4</v>
      </c>
      <c r="AJ27" s="20">
        <v>4</v>
      </c>
      <c r="AK27" s="20">
        <v>4</v>
      </c>
      <c r="AL27" s="20">
        <v>4</v>
      </c>
      <c r="AM27" s="20">
        <v>4</v>
      </c>
      <c r="AN27" s="20">
        <v>4</v>
      </c>
      <c r="AO27" s="20">
        <v>4</v>
      </c>
      <c r="AP27" s="20">
        <v>4</v>
      </c>
      <c r="AQ27" s="20">
        <v>4</v>
      </c>
      <c r="AR27" s="20">
        <v>4</v>
      </c>
      <c r="AS27" s="20">
        <v>5</v>
      </c>
      <c r="AT27" s="20" t="s">
        <v>252</v>
      </c>
      <c r="AU27" s="20" t="s">
        <v>253</v>
      </c>
      <c r="AV27" s="20" t="s">
        <v>254</v>
      </c>
      <c r="AW27" s="20" t="s">
        <v>255</v>
      </c>
      <c r="AX27" s="20" t="b">
        <f>TRUE()</f>
        <v>1</v>
      </c>
      <c r="AY27" s="20" t="b">
        <f>FALSE()</f>
        <v>0</v>
      </c>
      <c r="AZ27" s="26">
        <f t="shared" si="0"/>
        <v>5</v>
      </c>
      <c r="BA27" s="26">
        <f>AVERAGE(P27:T27)</f>
        <v>4.8</v>
      </c>
      <c r="BB27" s="26">
        <f>AVERAGE(U27:Y27)</f>
        <v>5</v>
      </c>
      <c r="BC27" s="26">
        <f>AVERAGE(Z27:AD27)</f>
        <v>5</v>
      </c>
      <c r="BD27" s="26">
        <f>AVERAGE(AE27:AI27)</f>
        <v>4</v>
      </c>
      <c r="BE27" s="26">
        <f>AVERAGE(AJ27:AN27)</f>
        <v>4</v>
      </c>
      <c r="BF27" s="26">
        <f>AVERAGE(AO27:AS27)</f>
        <v>4.2</v>
      </c>
      <c r="BG27" s="23">
        <f t="shared" si="1"/>
        <v>1</v>
      </c>
      <c r="BH27" s="23">
        <f t="shared" si="16"/>
        <v>1</v>
      </c>
      <c r="BI27" s="23">
        <f t="shared" si="16"/>
        <v>1</v>
      </c>
      <c r="BJ27" s="23">
        <f t="shared" si="16"/>
        <v>1</v>
      </c>
      <c r="BK27" s="23">
        <f t="shared" si="16"/>
        <v>1</v>
      </c>
      <c r="BL27" s="23">
        <f t="shared" si="16"/>
        <v>1</v>
      </c>
      <c r="BM27" s="23">
        <f t="shared" si="16"/>
        <v>1</v>
      </c>
    </row>
    <row r="28" spans="1:65" s="29" customFormat="1" ht="22.5" customHeight="1">
      <c r="A28" s="25">
        <v>46078.913648969901</v>
      </c>
      <c r="B28" s="20" t="s">
        <v>256</v>
      </c>
      <c r="C28" s="20" t="s">
        <v>74</v>
      </c>
      <c r="D28" s="20" t="s">
        <v>141</v>
      </c>
      <c r="E28" s="20" t="s">
        <v>76</v>
      </c>
      <c r="F28" s="20"/>
      <c r="G28" s="20" t="s">
        <v>257</v>
      </c>
      <c r="H28" s="20" t="s">
        <v>174</v>
      </c>
      <c r="I28" s="20" t="s">
        <v>79</v>
      </c>
      <c r="J28" s="20" t="s">
        <v>258</v>
      </c>
      <c r="K28" s="20">
        <v>5</v>
      </c>
      <c r="L28" s="20">
        <v>5</v>
      </c>
      <c r="M28" s="20">
        <v>5</v>
      </c>
      <c r="N28" s="20">
        <v>3</v>
      </c>
      <c r="O28" s="20">
        <v>4</v>
      </c>
      <c r="P28" s="20">
        <v>4</v>
      </c>
      <c r="Q28" s="20">
        <v>4</v>
      </c>
      <c r="R28" s="20">
        <v>4</v>
      </c>
      <c r="S28" s="20">
        <v>4</v>
      </c>
      <c r="T28" s="20">
        <v>4</v>
      </c>
      <c r="U28" s="20">
        <v>5</v>
      </c>
      <c r="V28" s="20">
        <v>5</v>
      </c>
      <c r="W28" s="20">
        <v>5</v>
      </c>
      <c r="X28" s="20">
        <v>5</v>
      </c>
      <c r="Y28" s="20">
        <v>5</v>
      </c>
      <c r="Z28" s="20">
        <v>5</v>
      </c>
      <c r="AA28" s="20">
        <v>5</v>
      </c>
      <c r="AB28" s="20">
        <v>5</v>
      </c>
      <c r="AC28" s="20">
        <v>5</v>
      </c>
      <c r="AD28" s="20">
        <v>5</v>
      </c>
      <c r="AE28" s="20">
        <v>5</v>
      </c>
      <c r="AF28" s="20">
        <v>4</v>
      </c>
      <c r="AG28" s="20">
        <v>4</v>
      </c>
      <c r="AH28" s="20">
        <v>5</v>
      </c>
      <c r="AI28" s="20">
        <v>5</v>
      </c>
      <c r="AJ28" s="20">
        <v>5</v>
      </c>
      <c r="AK28" s="20">
        <v>4</v>
      </c>
      <c r="AL28" s="20">
        <v>4</v>
      </c>
      <c r="AM28" s="20">
        <v>4</v>
      </c>
      <c r="AN28" s="20">
        <v>5</v>
      </c>
      <c r="AO28" s="20">
        <v>5</v>
      </c>
      <c r="AP28" s="20">
        <v>5</v>
      </c>
      <c r="AQ28" s="20">
        <v>5</v>
      </c>
      <c r="AR28" s="20">
        <v>5</v>
      </c>
      <c r="AS28" s="20">
        <v>5</v>
      </c>
      <c r="AT28" s="20" t="s">
        <v>259</v>
      </c>
      <c r="AU28" s="20" t="s">
        <v>260</v>
      </c>
      <c r="AV28" s="20" t="s">
        <v>261</v>
      </c>
      <c r="AW28" s="20" t="s">
        <v>262</v>
      </c>
      <c r="AX28" s="20" t="b">
        <f>TRUE()</f>
        <v>1</v>
      </c>
      <c r="AY28" s="20" t="b">
        <f>FALSE()</f>
        <v>0</v>
      </c>
      <c r="AZ28" s="26">
        <f t="shared" si="0"/>
        <v>4.4000000000000004</v>
      </c>
      <c r="BA28" s="26">
        <f>AVERAGE(P28:T28)</f>
        <v>4</v>
      </c>
      <c r="BB28" s="26">
        <f>AVERAGE(U28:Y28)</f>
        <v>5</v>
      </c>
      <c r="BC28" s="26">
        <f>AVERAGE(Z28:AD28)</f>
        <v>5</v>
      </c>
      <c r="BD28" s="26">
        <f>AVERAGE(AE28:AI28)</f>
        <v>4.5999999999999996</v>
      </c>
      <c r="BE28" s="26">
        <f>AVERAGE(AJ28:AN28)</f>
        <v>4.4000000000000004</v>
      </c>
      <c r="BF28" s="26">
        <f>AVERAGE(AO28:AS28)</f>
        <v>5</v>
      </c>
      <c r="BG28" s="23">
        <f t="shared" si="1"/>
        <v>1</v>
      </c>
      <c r="BH28" s="23">
        <f t="shared" si="16"/>
        <v>1</v>
      </c>
      <c r="BI28" s="23">
        <f t="shared" si="16"/>
        <v>1</v>
      </c>
      <c r="BJ28" s="23">
        <f t="shared" si="16"/>
        <v>1</v>
      </c>
      <c r="BK28" s="23">
        <f t="shared" si="16"/>
        <v>1</v>
      </c>
      <c r="BL28" s="23">
        <f t="shared" si="16"/>
        <v>1</v>
      </c>
      <c r="BM28" s="23">
        <f t="shared" si="16"/>
        <v>1</v>
      </c>
    </row>
    <row r="29" spans="1:65" s="29" customFormat="1" ht="22.5" hidden="1" customHeight="1">
      <c r="A29" s="33">
        <v>46079.549809189797</v>
      </c>
      <c r="B29" s="34" t="s">
        <v>263</v>
      </c>
      <c r="C29" s="20" t="s">
        <v>74</v>
      </c>
      <c r="D29" s="34" t="s">
        <v>188</v>
      </c>
      <c r="E29" s="34" t="s">
        <v>264</v>
      </c>
      <c r="F29" s="34" t="s">
        <v>265</v>
      </c>
      <c r="G29" s="34" t="s">
        <v>118</v>
      </c>
      <c r="H29" s="34"/>
      <c r="I29" s="34" t="s">
        <v>79</v>
      </c>
      <c r="J29" s="34" t="s">
        <v>91</v>
      </c>
      <c r="K29" s="34">
        <v>4</v>
      </c>
      <c r="L29" s="34">
        <v>4</v>
      </c>
      <c r="M29" s="34">
        <v>3</v>
      </c>
      <c r="N29" s="34">
        <v>3</v>
      </c>
      <c r="O29" s="34">
        <v>3</v>
      </c>
      <c r="P29" s="34">
        <v>3</v>
      </c>
      <c r="Q29" s="34">
        <v>3</v>
      </c>
      <c r="R29" s="34">
        <v>3</v>
      </c>
      <c r="S29" s="34">
        <v>3</v>
      </c>
      <c r="T29" s="34">
        <v>3</v>
      </c>
      <c r="U29" s="34">
        <v>3</v>
      </c>
      <c r="V29" s="34">
        <v>3</v>
      </c>
      <c r="W29" s="34">
        <v>3</v>
      </c>
      <c r="X29" s="34">
        <v>4</v>
      </c>
      <c r="Y29" s="34">
        <v>3</v>
      </c>
      <c r="Z29" s="34">
        <v>3</v>
      </c>
      <c r="AA29" s="34">
        <v>3</v>
      </c>
      <c r="AB29" s="34">
        <v>3</v>
      </c>
      <c r="AC29" s="34">
        <v>2</v>
      </c>
      <c r="AD29" s="34">
        <v>3</v>
      </c>
      <c r="AE29" s="34"/>
      <c r="AF29" s="20">
        <v>5</v>
      </c>
      <c r="AG29" s="20">
        <v>5</v>
      </c>
      <c r="AH29" s="20">
        <v>5</v>
      </c>
      <c r="AI29" s="20">
        <v>5</v>
      </c>
      <c r="AJ29" s="20">
        <v>5</v>
      </c>
      <c r="AK29" s="20">
        <v>4</v>
      </c>
      <c r="AL29" s="20">
        <v>5</v>
      </c>
      <c r="AM29" s="20">
        <v>5</v>
      </c>
      <c r="AN29" s="20">
        <v>5</v>
      </c>
      <c r="AO29" s="20">
        <v>5</v>
      </c>
      <c r="AP29" s="20">
        <v>5</v>
      </c>
      <c r="AQ29" s="34"/>
      <c r="AR29" s="34"/>
      <c r="AS29" s="20">
        <v>4</v>
      </c>
      <c r="AT29" s="34" t="s">
        <v>266</v>
      </c>
      <c r="AU29" s="34" t="s">
        <v>267</v>
      </c>
      <c r="AV29" s="34" t="s">
        <v>268</v>
      </c>
      <c r="AW29" s="34" t="s">
        <v>269</v>
      </c>
      <c r="AX29" s="34" t="b">
        <f>FALSE()</f>
        <v>0</v>
      </c>
      <c r="AY29" s="34" t="b">
        <f>TRUE()</f>
        <v>1</v>
      </c>
      <c r="AZ29" s="29">
        <f t="shared" si="0"/>
        <v>3.4</v>
      </c>
      <c r="BG29" s="29">
        <f t="shared" si="1"/>
        <v>0</v>
      </c>
    </row>
    <row r="30" spans="1:65" s="29" customFormat="1" ht="22.5" customHeight="1">
      <c r="A30" s="25">
        <v>46079.737020844899</v>
      </c>
      <c r="B30" s="20" t="s">
        <v>270</v>
      </c>
      <c r="C30" s="20" t="s">
        <v>74</v>
      </c>
      <c r="D30" s="20" t="s">
        <v>141</v>
      </c>
      <c r="E30" s="20" t="s">
        <v>76</v>
      </c>
      <c r="F30" s="20"/>
      <c r="G30" s="20" t="s">
        <v>271</v>
      </c>
      <c r="H30" s="20" t="s">
        <v>158</v>
      </c>
      <c r="I30" s="20" t="s">
        <v>79</v>
      </c>
      <c r="J30" s="20" t="s">
        <v>80</v>
      </c>
      <c r="K30" s="20">
        <v>5</v>
      </c>
      <c r="L30" s="20">
        <v>5</v>
      </c>
      <c r="M30" s="20">
        <v>5</v>
      </c>
      <c r="N30" s="20">
        <v>5</v>
      </c>
      <c r="O30" s="20">
        <v>5</v>
      </c>
      <c r="P30" s="20">
        <v>4</v>
      </c>
      <c r="Q30" s="20">
        <v>4</v>
      </c>
      <c r="R30" s="20">
        <v>5</v>
      </c>
      <c r="S30" s="20">
        <v>4</v>
      </c>
      <c r="T30" s="20">
        <v>5</v>
      </c>
      <c r="U30" s="20">
        <v>5</v>
      </c>
      <c r="V30" s="20">
        <v>5</v>
      </c>
      <c r="W30" s="20">
        <v>4</v>
      </c>
      <c r="X30" s="20">
        <v>4</v>
      </c>
      <c r="Y30" s="20">
        <v>4</v>
      </c>
      <c r="Z30" s="20">
        <v>4</v>
      </c>
      <c r="AA30" s="20">
        <v>4</v>
      </c>
      <c r="AB30" s="20">
        <v>4</v>
      </c>
      <c r="AC30" s="20">
        <v>4</v>
      </c>
      <c r="AD30" s="20">
        <v>4</v>
      </c>
      <c r="AE30" s="20">
        <v>4</v>
      </c>
      <c r="AF30" s="20">
        <v>4</v>
      </c>
      <c r="AG30" s="20">
        <v>4</v>
      </c>
      <c r="AH30" s="20">
        <v>4</v>
      </c>
      <c r="AI30" s="20">
        <v>4</v>
      </c>
      <c r="AJ30" s="20">
        <v>4</v>
      </c>
      <c r="AK30" s="20">
        <v>4</v>
      </c>
      <c r="AL30" s="20">
        <v>4</v>
      </c>
      <c r="AM30" s="20">
        <v>4</v>
      </c>
      <c r="AN30" s="20">
        <v>4</v>
      </c>
      <c r="AO30" s="20">
        <v>4</v>
      </c>
      <c r="AP30" s="20">
        <v>4</v>
      </c>
      <c r="AQ30" s="20">
        <v>4</v>
      </c>
      <c r="AR30" s="20">
        <v>4</v>
      </c>
      <c r="AS30" s="20">
        <v>5</v>
      </c>
      <c r="AT30" s="20" t="s">
        <v>272</v>
      </c>
      <c r="AU30" s="20" t="s">
        <v>273</v>
      </c>
      <c r="AV30" s="20" t="s">
        <v>274</v>
      </c>
      <c r="AW30" s="20" t="s">
        <v>275</v>
      </c>
      <c r="AX30" s="20" t="b">
        <f>TRUE()</f>
        <v>1</v>
      </c>
      <c r="AY30" s="20" t="b">
        <f>FALSE()</f>
        <v>0</v>
      </c>
      <c r="AZ30" s="26">
        <f t="shared" si="0"/>
        <v>5</v>
      </c>
      <c r="BA30" s="26">
        <f>AVERAGE(P30:T30)</f>
        <v>4.4000000000000004</v>
      </c>
      <c r="BB30" s="26">
        <f>AVERAGE(U30:Y30)</f>
        <v>4.4000000000000004</v>
      </c>
      <c r="BC30" s="26">
        <f>AVERAGE(Z30:AD30)</f>
        <v>4</v>
      </c>
      <c r="BD30" s="26">
        <f>AVERAGE(AE30:AI30)</f>
        <v>4</v>
      </c>
      <c r="BE30" s="26">
        <f>AVERAGE(AJ30:AN30)</f>
        <v>4</v>
      </c>
      <c r="BF30" s="26">
        <f>AVERAGE(AO30:AS30)</f>
        <v>4.2</v>
      </c>
      <c r="BG30" s="23">
        <f t="shared" si="1"/>
        <v>1</v>
      </c>
      <c r="BH30" s="23">
        <f t="shared" ref="BH30:BM32" si="17">IF(BA30&gt;=4,1,0)</f>
        <v>1</v>
      </c>
      <c r="BI30" s="23">
        <f t="shared" si="17"/>
        <v>1</v>
      </c>
      <c r="BJ30" s="23">
        <f t="shared" si="17"/>
        <v>1</v>
      </c>
      <c r="BK30" s="23">
        <f t="shared" si="17"/>
        <v>1</v>
      </c>
      <c r="BL30" s="23">
        <f t="shared" si="17"/>
        <v>1</v>
      </c>
      <c r="BM30" s="23">
        <f t="shared" si="17"/>
        <v>1</v>
      </c>
    </row>
    <row r="31" spans="1:65" ht="22.5" customHeight="1">
      <c r="A31" s="25">
        <v>46081.161463194498</v>
      </c>
      <c r="B31" s="20" t="s">
        <v>276</v>
      </c>
      <c r="C31" s="20" t="s">
        <v>74</v>
      </c>
      <c r="D31" s="20" t="s">
        <v>141</v>
      </c>
      <c r="E31" s="20" t="s">
        <v>277</v>
      </c>
      <c r="F31" s="20"/>
      <c r="G31" s="20" t="s">
        <v>157</v>
      </c>
      <c r="H31" s="20" t="s">
        <v>78</v>
      </c>
      <c r="I31" s="20" t="s">
        <v>102</v>
      </c>
      <c r="J31" s="20" t="s">
        <v>278</v>
      </c>
      <c r="K31" s="20">
        <v>5</v>
      </c>
      <c r="L31" s="20">
        <v>5</v>
      </c>
      <c r="M31" s="20">
        <v>3</v>
      </c>
      <c r="N31" s="20">
        <v>5</v>
      </c>
      <c r="O31" s="20">
        <v>5</v>
      </c>
      <c r="P31" s="20">
        <v>4</v>
      </c>
      <c r="Q31" s="20">
        <v>4</v>
      </c>
      <c r="R31" s="20">
        <v>5</v>
      </c>
      <c r="S31" s="20">
        <v>5</v>
      </c>
      <c r="T31" s="20">
        <v>5</v>
      </c>
      <c r="U31" s="20">
        <v>5</v>
      </c>
      <c r="V31" s="20">
        <v>5</v>
      </c>
      <c r="W31" s="20">
        <v>5</v>
      </c>
      <c r="X31" s="20">
        <v>5</v>
      </c>
      <c r="Y31" s="20">
        <v>5</v>
      </c>
      <c r="Z31" s="20">
        <v>4</v>
      </c>
      <c r="AA31" s="20">
        <v>4</v>
      </c>
      <c r="AB31" s="20">
        <v>5</v>
      </c>
      <c r="AC31" s="20">
        <v>5</v>
      </c>
      <c r="AD31" s="20">
        <v>5</v>
      </c>
      <c r="AE31" s="20">
        <v>4</v>
      </c>
      <c r="AF31" s="20">
        <v>4</v>
      </c>
      <c r="AG31" s="20">
        <v>4</v>
      </c>
      <c r="AH31" s="20">
        <v>5</v>
      </c>
      <c r="AI31" s="20">
        <v>5</v>
      </c>
      <c r="AJ31" s="20">
        <v>5</v>
      </c>
      <c r="AK31" s="20">
        <v>4</v>
      </c>
      <c r="AL31" s="20">
        <v>4</v>
      </c>
      <c r="AM31" s="20">
        <v>5</v>
      </c>
      <c r="AN31" s="20">
        <v>5</v>
      </c>
      <c r="AO31" s="20">
        <v>5</v>
      </c>
      <c r="AP31" s="20">
        <v>4</v>
      </c>
      <c r="AQ31" s="20">
        <v>5</v>
      </c>
      <c r="AR31" s="20">
        <v>5</v>
      </c>
      <c r="AS31" s="20">
        <v>4</v>
      </c>
      <c r="AT31" s="20" t="s">
        <v>204</v>
      </c>
      <c r="AU31" s="20"/>
      <c r="AV31" s="20" t="s">
        <v>204</v>
      </c>
      <c r="AW31" s="20" t="s">
        <v>279</v>
      </c>
      <c r="AX31" s="20" t="b">
        <f>TRUE()</f>
        <v>1</v>
      </c>
      <c r="AY31" s="20" t="b">
        <f>FALSE()</f>
        <v>0</v>
      </c>
      <c r="AZ31" s="26">
        <f t="shared" si="0"/>
        <v>4.5999999999999996</v>
      </c>
      <c r="BA31" s="26">
        <f>AVERAGE(P31:T31)</f>
        <v>4.5999999999999996</v>
      </c>
      <c r="BB31" s="26">
        <f>AVERAGE(U31:Y31)</f>
        <v>5</v>
      </c>
      <c r="BC31" s="26">
        <f>AVERAGE(Z31:AD31)</f>
        <v>4.5999999999999996</v>
      </c>
      <c r="BD31" s="26">
        <f>AVERAGE(AE31:AI31)</f>
        <v>4.4000000000000004</v>
      </c>
      <c r="BE31" s="26">
        <f>AVERAGE(AJ31:AN31)</f>
        <v>4.5999999999999996</v>
      </c>
      <c r="BF31" s="26">
        <f>AVERAGE(AO31:AS31)</f>
        <v>4.5999999999999996</v>
      </c>
      <c r="BG31" s="23">
        <f t="shared" si="1"/>
        <v>1</v>
      </c>
      <c r="BH31" s="23">
        <f t="shared" si="17"/>
        <v>1</v>
      </c>
      <c r="BI31" s="23">
        <f t="shared" si="17"/>
        <v>1</v>
      </c>
      <c r="BJ31" s="23">
        <f t="shared" si="17"/>
        <v>1</v>
      </c>
      <c r="BK31" s="23">
        <f t="shared" si="17"/>
        <v>1</v>
      </c>
      <c r="BL31" s="23">
        <f t="shared" si="17"/>
        <v>1</v>
      </c>
      <c r="BM31" s="23">
        <f t="shared" si="17"/>
        <v>1</v>
      </c>
    </row>
    <row r="32" spans="1:65" s="29" customFormat="1" ht="22.5" customHeight="1">
      <c r="A32" s="25">
        <v>46081.170629652799</v>
      </c>
      <c r="B32" s="20" t="s">
        <v>280</v>
      </c>
      <c r="C32" s="20" t="s">
        <v>74</v>
      </c>
      <c r="D32" s="20" t="s">
        <v>141</v>
      </c>
      <c r="E32" s="20" t="s">
        <v>193</v>
      </c>
      <c r="F32" s="20"/>
      <c r="G32" s="20" t="s">
        <v>150</v>
      </c>
      <c r="H32" s="20" t="s">
        <v>191</v>
      </c>
      <c r="I32" s="20" t="s">
        <v>111</v>
      </c>
      <c r="J32" s="20" t="s">
        <v>281</v>
      </c>
      <c r="K32" s="20">
        <v>5</v>
      </c>
      <c r="L32" s="20">
        <v>5</v>
      </c>
      <c r="M32" s="20">
        <v>5</v>
      </c>
      <c r="N32" s="20">
        <v>5</v>
      </c>
      <c r="O32" s="20">
        <v>5</v>
      </c>
      <c r="P32" s="20">
        <v>5</v>
      </c>
      <c r="Q32" s="20">
        <v>5</v>
      </c>
      <c r="R32" s="20">
        <v>5</v>
      </c>
      <c r="S32" s="20">
        <v>5</v>
      </c>
      <c r="T32" s="20">
        <v>5</v>
      </c>
      <c r="U32" s="20">
        <v>5</v>
      </c>
      <c r="V32" s="20">
        <v>5</v>
      </c>
      <c r="W32" s="20">
        <v>5</v>
      </c>
      <c r="X32" s="20">
        <v>5</v>
      </c>
      <c r="Y32" s="20">
        <v>5</v>
      </c>
      <c r="Z32" s="20">
        <v>5</v>
      </c>
      <c r="AA32" s="20">
        <v>5</v>
      </c>
      <c r="AB32" s="20">
        <v>5</v>
      </c>
      <c r="AC32" s="20">
        <v>5</v>
      </c>
      <c r="AD32" s="20">
        <v>5</v>
      </c>
      <c r="AE32" s="20">
        <v>4</v>
      </c>
      <c r="AF32" s="20">
        <v>5</v>
      </c>
      <c r="AG32" s="20">
        <v>5</v>
      </c>
      <c r="AH32" s="20">
        <v>5</v>
      </c>
      <c r="AI32" s="20">
        <v>5</v>
      </c>
      <c r="AJ32" s="20">
        <v>5</v>
      </c>
      <c r="AK32" s="20">
        <v>5</v>
      </c>
      <c r="AL32" s="20">
        <v>5</v>
      </c>
      <c r="AM32" s="20">
        <v>5</v>
      </c>
      <c r="AN32" s="20">
        <v>5</v>
      </c>
      <c r="AO32" s="20">
        <v>5</v>
      </c>
      <c r="AP32" s="20">
        <v>4</v>
      </c>
      <c r="AQ32" s="20">
        <v>5</v>
      </c>
      <c r="AR32" s="20">
        <v>5</v>
      </c>
      <c r="AS32" s="20">
        <v>5</v>
      </c>
      <c r="AT32" s="20" t="s">
        <v>282</v>
      </c>
      <c r="AU32" s="20" t="s">
        <v>283</v>
      </c>
      <c r="AV32" s="20" t="s">
        <v>284</v>
      </c>
      <c r="AW32" s="20" t="s">
        <v>285</v>
      </c>
      <c r="AX32" s="20" t="b">
        <f>TRUE()</f>
        <v>1</v>
      </c>
      <c r="AY32" s="20" t="b">
        <f>FALSE()</f>
        <v>0</v>
      </c>
      <c r="AZ32" s="26">
        <f t="shared" si="0"/>
        <v>5</v>
      </c>
      <c r="BA32" s="26">
        <f>AVERAGE(P32:T32)</f>
        <v>5</v>
      </c>
      <c r="BB32" s="26">
        <f>AVERAGE(U32:Y32)</f>
        <v>5</v>
      </c>
      <c r="BC32" s="26">
        <f>AVERAGE(Z32:AD32)</f>
        <v>5</v>
      </c>
      <c r="BD32" s="26">
        <f>AVERAGE(AE32:AI32)</f>
        <v>4.8</v>
      </c>
      <c r="BE32" s="26">
        <f>AVERAGE(AJ32:AN32)</f>
        <v>5</v>
      </c>
      <c r="BF32" s="26">
        <f>AVERAGE(AO32:AS32)</f>
        <v>4.8</v>
      </c>
      <c r="BG32" s="23">
        <f t="shared" si="1"/>
        <v>1</v>
      </c>
      <c r="BH32" s="23">
        <f t="shared" si="17"/>
        <v>1</v>
      </c>
      <c r="BI32" s="23">
        <f t="shared" si="17"/>
        <v>1</v>
      </c>
      <c r="BJ32" s="23">
        <f t="shared" si="17"/>
        <v>1</v>
      </c>
      <c r="BK32" s="23">
        <f t="shared" si="17"/>
        <v>1</v>
      </c>
      <c r="BL32" s="23">
        <f t="shared" si="17"/>
        <v>1</v>
      </c>
      <c r="BM32" s="23">
        <f t="shared" si="17"/>
        <v>1</v>
      </c>
    </row>
    <row r="33" spans="1:65" ht="15.75" hidden="1" customHeight="1">
      <c r="A33" s="30">
        <v>46081.659654479197</v>
      </c>
      <c r="B33" s="31" t="s">
        <v>286</v>
      </c>
      <c r="C33" s="20" t="s">
        <v>74</v>
      </c>
      <c r="D33" s="31" t="s">
        <v>86</v>
      </c>
      <c r="E33" s="31" t="s">
        <v>142</v>
      </c>
      <c r="F33" s="31" t="s">
        <v>287</v>
      </c>
      <c r="G33" s="31" t="s">
        <v>288</v>
      </c>
      <c r="H33" s="31"/>
      <c r="I33" s="31" t="s">
        <v>79</v>
      </c>
      <c r="J33" s="31" t="s">
        <v>135</v>
      </c>
      <c r="K33" s="31">
        <v>4</v>
      </c>
      <c r="L33" s="31">
        <v>4</v>
      </c>
      <c r="M33" s="31">
        <v>4</v>
      </c>
      <c r="N33" s="31">
        <v>4</v>
      </c>
      <c r="O33" s="31">
        <v>4</v>
      </c>
      <c r="P33" s="31">
        <v>4</v>
      </c>
      <c r="Q33" s="31">
        <v>4</v>
      </c>
      <c r="R33" s="31">
        <v>4</v>
      </c>
      <c r="S33" s="31">
        <v>4</v>
      </c>
      <c r="T33" s="31">
        <v>4</v>
      </c>
      <c r="U33" s="31">
        <v>4</v>
      </c>
      <c r="V33" s="31">
        <v>4</v>
      </c>
      <c r="W33" s="31">
        <v>4</v>
      </c>
      <c r="X33" s="31">
        <v>4</v>
      </c>
      <c r="Y33" s="31">
        <v>4</v>
      </c>
      <c r="Z33" s="31">
        <v>4</v>
      </c>
      <c r="AA33" s="31">
        <v>5</v>
      </c>
      <c r="AB33" s="31">
        <v>4</v>
      </c>
      <c r="AC33" s="31">
        <v>4</v>
      </c>
      <c r="AD33" s="31">
        <v>4</v>
      </c>
      <c r="AE33" s="31"/>
      <c r="AF33" s="20">
        <v>2</v>
      </c>
      <c r="AG33" s="20">
        <v>4</v>
      </c>
      <c r="AH33" s="20">
        <v>3</v>
      </c>
      <c r="AI33" s="20">
        <v>4</v>
      </c>
      <c r="AJ33" s="20">
        <v>4</v>
      </c>
      <c r="AK33" s="20">
        <v>2</v>
      </c>
      <c r="AL33" s="20">
        <v>4</v>
      </c>
      <c r="AM33" s="20">
        <v>3</v>
      </c>
      <c r="AN33" s="20">
        <v>4</v>
      </c>
      <c r="AO33" s="20">
        <v>4</v>
      </c>
      <c r="AP33" s="20">
        <v>4</v>
      </c>
      <c r="AQ33" s="31"/>
      <c r="AR33" s="31"/>
      <c r="AS33" s="31"/>
      <c r="AT33" s="31" t="s">
        <v>289</v>
      </c>
      <c r="AU33" s="31" t="s">
        <v>290</v>
      </c>
      <c r="AV33" s="31" t="s">
        <v>291</v>
      </c>
      <c r="AW33" s="31" t="s">
        <v>292</v>
      </c>
      <c r="AX33" s="31" t="b">
        <f>FALSE()</f>
        <v>0</v>
      </c>
      <c r="AY33" s="31" t="b">
        <f>TRUE()</f>
        <v>1</v>
      </c>
      <c r="AZ33" s="10">
        <f t="shared" si="0"/>
        <v>4</v>
      </c>
      <c r="BG33" s="10">
        <f t="shared" si="1"/>
        <v>1</v>
      </c>
    </row>
    <row r="34" spans="1:65" ht="25.5" customHeight="1">
      <c r="A34" s="25">
        <v>46086.599587129604</v>
      </c>
      <c r="B34" s="20" t="s">
        <v>293</v>
      </c>
      <c r="C34" s="20" t="s">
        <v>74</v>
      </c>
      <c r="D34" s="20" t="s">
        <v>98</v>
      </c>
      <c r="E34" s="20" t="s">
        <v>76</v>
      </c>
      <c r="F34" s="20"/>
      <c r="G34" s="20" t="s">
        <v>294</v>
      </c>
      <c r="H34" s="20" t="s">
        <v>203</v>
      </c>
      <c r="I34" s="20" t="s">
        <v>102</v>
      </c>
      <c r="J34" s="20" t="s">
        <v>295</v>
      </c>
      <c r="K34" s="20">
        <v>5</v>
      </c>
      <c r="L34" s="20">
        <v>4</v>
      </c>
      <c r="M34" s="20">
        <v>4</v>
      </c>
      <c r="N34" s="20">
        <v>4</v>
      </c>
      <c r="O34" s="20">
        <v>4</v>
      </c>
      <c r="P34" s="20">
        <v>4</v>
      </c>
      <c r="Q34" s="20">
        <v>4</v>
      </c>
      <c r="R34" s="20">
        <v>4</v>
      </c>
      <c r="S34" s="20">
        <v>4</v>
      </c>
      <c r="T34" s="20">
        <v>4</v>
      </c>
      <c r="U34" s="20">
        <v>5</v>
      </c>
      <c r="V34" s="20">
        <v>4</v>
      </c>
      <c r="W34" s="20">
        <v>4</v>
      </c>
      <c r="X34" s="20">
        <v>5</v>
      </c>
      <c r="Y34" s="20">
        <v>4</v>
      </c>
      <c r="Z34" s="20">
        <v>5</v>
      </c>
      <c r="AA34" s="20">
        <v>4</v>
      </c>
      <c r="AB34" s="20">
        <v>4</v>
      </c>
      <c r="AC34" s="20">
        <v>4</v>
      </c>
      <c r="AD34" s="20">
        <v>4</v>
      </c>
      <c r="AE34" s="20">
        <v>4</v>
      </c>
      <c r="AF34" s="20">
        <v>4</v>
      </c>
      <c r="AG34" s="20">
        <v>4</v>
      </c>
      <c r="AH34" s="20">
        <v>4</v>
      </c>
      <c r="AI34" s="20">
        <v>4</v>
      </c>
      <c r="AJ34" s="20">
        <v>4</v>
      </c>
      <c r="AK34" s="20">
        <v>4</v>
      </c>
      <c r="AL34" s="20">
        <v>4</v>
      </c>
      <c r="AM34" s="20">
        <v>4</v>
      </c>
      <c r="AN34" s="20">
        <v>4</v>
      </c>
      <c r="AO34" s="20">
        <v>4</v>
      </c>
      <c r="AP34" s="20">
        <v>4</v>
      </c>
      <c r="AQ34" s="20">
        <v>4</v>
      </c>
      <c r="AR34" s="20">
        <v>4</v>
      </c>
      <c r="AS34" s="20">
        <v>4</v>
      </c>
      <c r="AT34" s="20" t="s">
        <v>136</v>
      </c>
      <c r="AU34" s="20" t="s">
        <v>296</v>
      </c>
      <c r="AV34" s="20" t="s">
        <v>297</v>
      </c>
      <c r="AW34" s="20" t="s">
        <v>298</v>
      </c>
      <c r="AX34" s="20" t="b">
        <f>TRUE()</f>
        <v>1</v>
      </c>
      <c r="AY34" s="20" t="b">
        <f>FALSE()</f>
        <v>0</v>
      </c>
      <c r="AZ34" s="26">
        <f t="shared" si="0"/>
        <v>4.2</v>
      </c>
      <c r="BA34" s="26">
        <f>AVERAGE(P34:T34)</f>
        <v>4</v>
      </c>
      <c r="BB34" s="26">
        <f>AVERAGE(U34:Y34)</f>
        <v>4.4000000000000004</v>
      </c>
      <c r="BC34" s="26">
        <f>AVERAGE(Z34:AD34)</f>
        <v>4.2</v>
      </c>
      <c r="BD34" s="26">
        <f>AVERAGE(AE34:AI34)</f>
        <v>4</v>
      </c>
      <c r="BE34" s="26">
        <f>AVERAGE(AJ34:AN34)</f>
        <v>4</v>
      </c>
      <c r="BF34" s="26">
        <f>AVERAGE(AO34:AS34)</f>
        <v>4</v>
      </c>
      <c r="BG34" s="23">
        <f t="shared" si="1"/>
        <v>1</v>
      </c>
      <c r="BH34" s="23">
        <f t="shared" ref="BH34:BM34" si="18">IF(BA34&gt;=4,1,0)</f>
        <v>1</v>
      </c>
      <c r="BI34" s="23">
        <f t="shared" si="18"/>
        <v>1</v>
      </c>
      <c r="BJ34" s="23">
        <f t="shared" si="18"/>
        <v>1</v>
      </c>
      <c r="BK34" s="23">
        <f t="shared" si="18"/>
        <v>1</v>
      </c>
      <c r="BL34" s="23">
        <f t="shared" si="18"/>
        <v>1</v>
      </c>
      <c r="BM34" s="23">
        <f t="shared" si="18"/>
        <v>1</v>
      </c>
    </row>
    <row r="36" spans="1:65" s="29" customFormat="1" ht="15.75" customHeight="1">
      <c r="A36" s="10"/>
      <c r="B36" s="10"/>
      <c r="C36" s="10"/>
      <c r="D36" s="10"/>
      <c r="E36" s="10"/>
      <c r="F36" s="10"/>
      <c r="G36" s="10"/>
      <c r="H36" s="10"/>
      <c r="I36" s="10"/>
      <c r="J36" s="10"/>
      <c r="K36" s="35">
        <f t="shared" ref="K36:AS36" si="19">AVERAGE(K5:K34)</f>
        <v>4.666666666666667</v>
      </c>
      <c r="L36" s="35">
        <f t="shared" si="19"/>
        <v>4.5666666666666664</v>
      </c>
      <c r="M36" s="35">
        <f t="shared" si="19"/>
        <v>4.3</v>
      </c>
      <c r="N36" s="35">
        <f t="shared" si="19"/>
        <v>4.5666666666666664</v>
      </c>
      <c r="O36" s="35">
        <f t="shared" si="19"/>
        <v>4.5333333333333332</v>
      </c>
      <c r="P36" s="35">
        <f t="shared" si="19"/>
        <v>4.333333333333333</v>
      </c>
      <c r="Q36" s="35">
        <f t="shared" si="19"/>
        <v>4.166666666666667</v>
      </c>
      <c r="R36" s="35">
        <f t="shared" si="19"/>
        <v>4.4000000000000004</v>
      </c>
      <c r="S36" s="35">
        <f t="shared" si="19"/>
        <v>4.5333333333333332</v>
      </c>
      <c r="T36" s="35">
        <f t="shared" si="19"/>
        <v>4.5</v>
      </c>
      <c r="U36" s="35">
        <f t="shared" si="19"/>
        <v>4.5333333333333332</v>
      </c>
      <c r="V36" s="35">
        <f t="shared" si="19"/>
        <v>4.5666666666666664</v>
      </c>
      <c r="W36" s="35">
        <f t="shared" si="19"/>
        <v>4.5</v>
      </c>
      <c r="X36" s="35">
        <f t="shared" si="19"/>
        <v>4.6333333333333337</v>
      </c>
      <c r="Y36" s="35">
        <f t="shared" si="19"/>
        <v>4.5333333333333332</v>
      </c>
      <c r="Z36" s="35">
        <f t="shared" si="19"/>
        <v>4.0333333333333332</v>
      </c>
      <c r="AA36" s="35">
        <f t="shared" si="19"/>
        <v>4.2666666666666666</v>
      </c>
      <c r="AB36" s="35">
        <f t="shared" si="19"/>
        <v>4.2</v>
      </c>
      <c r="AC36" s="35">
        <f t="shared" si="19"/>
        <v>4.2666666666666666</v>
      </c>
      <c r="AD36" s="35">
        <f t="shared" si="19"/>
        <v>4.333333333333333</v>
      </c>
      <c r="AE36" s="35">
        <f t="shared" si="19"/>
        <v>4.1052631578947372</v>
      </c>
      <c r="AF36" s="35">
        <f t="shared" si="19"/>
        <v>4.2333333333333334</v>
      </c>
      <c r="AG36" s="35">
        <f t="shared" si="19"/>
        <v>4.333333333333333</v>
      </c>
      <c r="AH36" s="35">
        <f t="shared" si="19"/>
        <v>4.5</v>
      </c>
      <c r="AI36" s="35">
        <f t="shared" si="19"/>
        <v>4.5</v>
      </c>
      <c r="AJ36" s="35">
        <f t="shared" si="19"/>
        <v>4.5333333333333332</v>
      </c>
      <c r="AK36" s="35">
        <f t="shared" si="19"/>
        <v>4.0333333333333332</v>
      </c>
      <c r="AL36" s="35">
        <f t="shared" si="19"/>
        <v>4.1333333333333337</v>
      </c>
      <c r="AM36" s="35">
        <f t="shared" si="19"/>
        <v>4.2666666666666666</v>
      </c>
      <c r="AN36" s="35">
        <f t="shared" si="19"/>
        <v>4.4333333333333336</v>
      </c>
      <c r="AO36" s="35">
        <f t="shared" si="19"/>
        <v>4.5</v>
      </c>
      <c r="AP36" s="35">
        <f t="shared" si="19"/>
        <v>4.4666666666666668</v>
      </c>
      <c r="AQ36" s="35">
        <f t="shared" si="19"/>
        <v>4.2857142857142856</v>
      </c>
      <c r="AR36" s="35">
        <f t="shared" si="19"/>
        <v>4.583333333333333</v>
      </c>
      <c r="AS36" s="35">
        <f t="shared" si="19"/>
        <v>4.615384615384615</v>
      </c>
      <c r="AT36" s="10"/>
      <c r="AU36" s="10"/>
      <c r="AV36" s="10"/>
      <c r="AW36" s="10"/>
      <c r="AX36" s="10"/>
      <c r="AY36" s="10"/>
    </row>
    <row r="37" spans="1:65" s="24" customFormat="1" ht="15.75" customHeight="1">
      <c r="A37" s="10" t="s">
        <v>299</v>
      </c>
      <c r="B37" s="10"/>
      <c r="C37" s="10"/>
      <c r="D37" s="10"/>
      <c r="E37" s="10"/>
      <c r="F37" s="10"/>
      <c r="G37" s="10"/>
      <c r="H37" s="10"/>
      <c r="I37" s="10"/>
      <c r="K37" s="10">
        <f>COUNTIF(K5:O34,"&gt;=4")</f>
        <v>141</v>
      </c>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t="s">
        <v>300</v>
      </c>
      <c r="AX37" s="36">
        <f>COUNTIF(AX3:AX34,TRUE())</f>
        <v>19</v>
      </c>
      <c r="AY37" s="36">
        <f>COUNTIF(AY3:AY34,TRUE())</f>
        <v>11</v>
      </c>
      <c r="BG37" s="24">
        <f t="shared" ref="BG37:BM37" si="20">COUNTIF(BG5:BG34,1)</f>
        <v>27</v>
      </c>
      <c r="BH37" s="24">
        <f t="shared" si="20"/>
        <v>19</v>
      </c>
      <c r="BI37" s="24">
        <f t="shared" si="20"/>
        <v>17</v>
      </c>
      <c r="BJ37" s="24">
        <f t="shared" si="20"/>
        <v>18</v>
      </c>
      <c r="BK37" s="24">
        <f t="shared" si="20"/>
        <v>19</v>
      </c>
      <c r="BL37" s="24">
        <f t="shared" si="20"/>
        <v>15</v>
      </c>
      <c r="BM37" s="24">
        <f t="shared" si="20"/>
        <v>19</v>
      </c>
    </row>
    <row r="38" spans="1:65" ht="15.75" customHeight="1">
      <c r="A38" s="37" t="s">
        <v>301</v>
      </c>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t="s">
        <v>302</v>
      </c>
      <c r="AU38" s="29"/>
      <c r="AV38" s="29"/>
      <c r="AW38" s="29" t="s">
        <v>300</v>
      </c>
      <c r="AX38" s="29"/>
      <c r="AY38" s="24">
        <f>AY37+AX37</f>
        <v>30</v>
      </c>
      <c r="AZ38" s="10">
        <f>COUNTIF(AZ5:AZ34,"&gt;=4")</f>
        <v>27</v>
      </c>
      <c r="BG38" s="24">
        <f>COUNTIF(BG5:BG34,0)</f>
        <v>3</v>
      </c>
    </row>
    <row r="39" spans="1:65" ht="15.75" customHeight="1">
      <c r="A39" s="38" t="s">
        <v>303</v>
      </c>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BF39" s="29" t="s">
        <v>304</v>
      </c>
      <c r="BG39" s="10">
        <f t="shared" ref="BG39:BM39" si="21">BG37-BG38</f>
        <v>24</v>
      </c>
      <c r="BH39" s="10">
        <f t="shared" si="21"/>
        <v>19</v>
      </c>
      <c r="BI39" s="10">
        <f t="shared" si="21"/>
        <v>17</v>
      </c>
      <c r="BJ39" s="10">
        <f t="shared" si="21"/>
        <v>18</v>
      </c>
      <c r="BK39" s="10">
        <f t="shared" si="21"/>
        <v>19</v>
      </c>
      <c r="BL39" s="10">
        <f t="shared" si="21"/>
        <v>15</v>
      </c>
      <c r="BM39" s="10">
        <f t="shared" si="21"/>
        <v>19</v>
      </c>
    </row>
    <row r="40" spans="1:65" ht="15.75" customHeight="1">
      <c r="A40" s="39" t="s">
        <v>305</v>
      </c>
    </row>
    <row r="42" spans="1:65" ht="15.75" customHeight="1">
      <c r="A42" s="10" t="s">
        <v>306</v>
      </c>
      <c r="B42" s="10" t="s">
        <v>307</v>
      </c>
      <c r="D42" s="10" t="s">
        <v>308</v>
      </c>
    </row>
    <row r="43" spans="1:65" ht="15.75" customHeight="1">
      <c r="F43" s="40">
        <f>COUNTIF(H5:H34,"Pakar Perencanaan strategis TI")</f>
        <v>5</v>
      </c>
      <c r="G43" s="41">
        <f>F43/$F$48</f>
        <v>0.26315789473684209</v>
      </c>
    </row>
    <row r="44" spans="1:65" ht="15.75" customHeight="1">
      <c r="B44" s="39" t="s">
        <v>309</v>
      </c>
      <c r="C44" s="39"/>
      <c r="D44" s="39"/>
      <c r="F44" s="40">
        <f>COUNTIF(H6:H35,"Pakar enterprise architecture")</f>
        <v>5</v>
      </c>
      <c r="G44" s="41">
        <f>F44/$F$48</f>
        <v>0.26315789473684209</v>
      </c>
    </row>
    <row r="45" spans="1:65" ht="13.5" customHeight="1">
      <c r="B45" s="39"/>
      <c r="C45" s="39"/>
      <c r="D45" s="39"/>
      <c r="F45" s="40">
        <f>COUNTIF(H7:H36,"Pakar tata kelola TI atau COBIT")+1</f>
        <v>3</v>
      </c>
      <c r="G45" s="41">
        <f>F45/$F$48</f>
        <v>0.15789473684210525</v>
      </c>
    </row>
    <row r="46" spans="1:65" ht="15.75" customHeight="1">
      <c r="B46" s="39" t="s">
        <v>310</v>
      </c>
      <c r="C46" s="39"/>
      <c r="D46" s="39"/>
      <c r="F46" s="40">
        <f>COUNTIF(H8:H37,"Praktisi TI atau manajer TI")</f>
        <v>4</v>
      </c>
      <c r="G46" s="41">
        <f>F46/$F$48</f>
        <v>0.21052631578947367</v>
      </c>
    </row>
    <row r="47" spans="1:65" ht="15.75" customHeight="1">
      <c r="B47" s="39" t="s">
        <v>306</v>
      </c>
      <c r="C47" s="39" t="s">
        <v>307</v>
      </c>
      <c r="D47" s="39" t="s">
        <v>308</v>
      </c>
      <c r="F47" s="40">
        <f>COUNTIF(H9:H38,"Akademisi sistem informasi")</f>
        <v>2</v>
      </c>
      <c r="G47" s="41">
        <f>F47/$F$48</f>
        <v>0.10526315789473684</v>
      </c>
    </row>
    <row r="48" spans="1:65" ht="15.75" customHeight="1">
      <c r="B48" s="42" t="s">
        <v>311</v>
      </c>
      <c r="C48" s="43"/>
      <c r="D48" s="43"/>
      <c r="F48" s="10">
        <f>SUM(F43:F47)</f>
        <v>19</v>
      </c>
      <c r="G48" s="44">
        <f>SUM(G43:G47)</f>
        <v>0.99999999999999989</v>
      </c>
    </row>
    <row r="49" spans="1:4" ht="15.75" customHeight="1">
      <c r="B49" s="45" t="s">
        <v>312</v>
      </c>
      <c r="C49" s="43">
        <f>COUNTIF(C3:C34,"Pria")</f>
        <v>28</v>
      </c>
      <c r="D49" s="46">
        <f>C49/(SUM($C$49+$C$50))</f>
        <v>0.93333333333333335</v>
      </c>
    </row>
    <row r="50" spans="1:4" ht="15.75" customHeight="1">
      <c r="B50" s="45" t="s">
        <v>313</v>
      </c>
      <c r="C50" s="43">
        <f>COUNTIF(C3:C35,"Wanita")</f>
        <v>2</v>
      </c>
      <c r="D50" s="46">
        <f>C50/(SUM($C$49+$C$50))</f>
        <v>6.6666666666666666E-2</v>
      </c>
    </row>
    <row r="51" spans="1:4" ht="15.75" customHeight="1">
      <c r="A51" s="29" t="s">
        <v>314</v>
      </c>
      <c r="B51" s="47"/>
      <c r="C51" s="42">
        <f>SUM(C49:C50)</f>
        <v>30</v>
      </c>
      <c r="D51" s="48">
        <f>SUM(D49:D50)</f>
        <v>1</v>
      </c>
    </row>
    <row r="52" spans="1:4" ht="15.75" customHeight="1">
      <c r="B52" s="42" t="s">
        <v>315</v>
      </c>
      <c r="C52" s="43"/>
      <c r="D52" s="43"/>
    </row>
    <row r="53" spans="1:4" ht="15.75" customHeight="1">
      <c r="B53" s="45" t="s">
        <v>316</v>
      </c>
      <c r="C53" s="43">
        <f>COUNTIF(D3:D34,"Praktisi IT")</f>
        <v>4</v>
      </c>
      <c r="D53" s="46">
        <f>C53/SUM(C$53:$C$55)</f>
        <v>0.13333333333333333</v>
      </c>
    </row>
    <row r="54" spans="1:4" ht="15.75" customHeight="1">
      <c r="B54" s="45" t="s">
        <v>317</v>
      </c>
      <c r="C54" s="43">
        <f>COUNTIF(D3:D35,"Konsultan IT")+8</f>
        <v>17</v>
      </c>
      <c r="D54" s="46">
        <f>C54/SUM(C$53:$C$55)</f>
        <v>0.56666666666666665</v>
      </c>
    </row>
    <row r="55" spans="1:4" ht="15.75" customHeight="1">
      <c r="B55" s="45" t="s">
        <v>318</v>
      </c>
      <c r="C55" s="43">
        <f>COUNTIF(D5:D36,"Akademisi (Guru, Dosen)")</f>
        <v>9</v>
      </c>
      <c r="D55" s="46">
        <f>C55/SUM(C$53:$C$55)</f>
        <v>0.3</v>
      </c>
    </row>
    <row r="56" spans="1:4" ht="15.75" customHeight="1">
      <c r="A56" s="29" t="s">
        <v>314</v>
      </c>
      <c r="B56" s="47"/>
      <c r="C56" s="42">
        <f>SUM(C53:C55)</f>
        <v>30</v>
      </c>
      <c r="D56" s="48">
        <f>SUM(D53:D55)</f>
        <v>1</v>
      </c>
    </row>
    <row r="57" spans="1:4" ht="15.75" customHeight="1">
      <c r="B57" s="49" t="s">
        <v>319</v>
      </c>
      <c r="C57" s="43"/>
      <c r="D57" s="43"/>
    </row>
    <row r="58" spans="1:4" ht="15.75" customHeight="1">
      <c r="B58" s="45" t="s">
        <v>320</v>
      </c>
      <c r="C58" s="43">
        <f>COUNTIF(E5:E33,"2. Pertambangan dan Penggalian")</f>
        <v>1</v>
      </c>
      <c r="D58" s="46">
        <f t="shared" ref="D58:D63" si="22">C58/SUM($C$64)</f>
        <v>3.3333333333333333E-2</v>
      </c>
    </row>
    <row r="59" spans="1:4" ht="15" customHeight="1">
      <c r="B59" s="45" t="s">
        <v>321</v>
      </c>
      <c r="C59" s="43">
        <f>COUNTIF(E3:E34,"16.Pendidikan")</f>
        <v>6</v>
      </c>
      <c r="D59" s="46">
        <f t="shared" si="22"/>
        <v>0.2</v>
      </c>
    </row>
    <row r="60" spans="1:4" ht="15.75" customHeight="1">
      <c r="B60" s="45" t="s">
        <v>322</v>
      </c>
      <c r="C60" s="43">
        <f>COUNTIF(E3:E35,"10.Informasi dan Komunikasi")+9</f>
        <v>19</v>
      </c>
      <c r="D60" s="46">
        <f t="shared" si="22"/>
        <v>0.6333333333333333</v>
      </c>
    </row>
    <row r="61" spans="1:4" ht="15.75" customHeight="1">
      <c r="B61" s="50" t="s">
        <v>323</v>
      </c>
      <c r="C61" s="43">
        <f>COUNTIF(E5:E36,"13.Aktivitas Profesional, Ilmiah, dan Teknis")</f>
        <v>1</v>
      </c>
      <c r="D61" s="46">
        <f t="shared" si="22"/>
        <v>3.3333333333333333E-2</v>
      </c>
    </row>
    <row r="62" spans="1:4" ht="15.75" customHeight="1">
      <c r="B62" s="45" t="s">
        <v>324</v>
      </c>
      <c r="C62" s="43">
        <f>COUNTIF(E5:E36,"16.Pendidikan")-5</f>
        <v>1</v>
      </c>
      <c r="D62" s="46">
        <f t="shared" si="22"/>
        <v>3.3333333333333333E-2</v>
      </c>
    </row>
    <row r="63" spans="1:4" ht="15.75" customHeight="1">
      <c r="B63" s="45" t="s">
        <v>325</v>
      </c>
      <c r="C63" s="43">
        <f>COUNTIF(E5:E37,"19.Aktivitas Jasa Lainnya")</f>
        <v>2</v>
      </c>
      <c r="D63" s="46">
        <f t="shared" si="22"/>
        <v>6.6666666666666666E-2</v>
      </c>
    </row>
    <row r="64" spans="1:4" ht="15.75" customHeight="1">
      <c r="A64" s="29" t="s">
        <v>314</v>
      </c>
      <c r="B64" s="47"/>
      <c r="C64" s="42">
        <f>SUM(C58:C63)</f>
        <v>30</v>
      </c>
      <c r="D64" s="48">
        <f>SUM(D58:D63)</f>
        <v>1</v>
      </c>
    </row>
    <row r="65" spans="1:4" ht="15.75" customHeight="1">
      <c r="B65" s="49" t="s">
        <v>326</v>
      </c>
      <c r="C65" s="43"/>
      <c r="D65" s="43"/>
    </row>
    <row r="66" spans="1:4" ht="15.75" customHeight="1">
      <c r="B66" s="51" t="s">
        <v>119</v>
      </c>
      <c r="C66" s="43">
        <f>COUNTIF(I3:I34,"5-10 Tahun")</f>
        <v>4</v>
      </c>
      <c r="D66" s="46">
        <f>C66/$C$70</f>
        <v>0.13333333333333333</v>
      </c>
    </row>
    <row r="67" spans="1:4" ht="15.75" customHeight="1">
      <c r="B67" s="52" t="s">
        <v>111</v>
      </c>
      <c r="C67" s="43">
        <f>COUNTIF(I3:I35,"11-15 Tahun")</f>
        <v>5</v>
      </c>
      <c r="D67" s="46">
        <f>C67/$C$70</f>
        <v>0.16666666666666666</v>
      </c>
    </row>
    <row r="68" spans="1:4" ht="15.75" customHeight="1">
      <c r="B68" s="50" t="s">
        <v>102</v>
      </c>
      <c r="C68" s="43">
        <f>COUNTIF(I5:I36,"16-20 Tahun")</f>
        <v>4</v>
      </c>
      <c r="D68" s="46">
        <f>C68/$C$70</f>
        <v>0.13333333333333333</v>
      </c>
    </row>
    <row r="69" spans="1:4" ht="15.75" customHeight="1">
      <c r="B69" s="50" t="s">
        <v>79</v>
      </c>
      <c r="C69" s="43">
        <f>COUNTIF(I5:I37,"&gt; 20 Tahun")-13</f>
        <v>17</v>
      </c>
      <c r="D69" s="46">
        <f>C69/$C$70</f>
        <v>0.56666666666666665</v>
      </c>
    </row>
    <row r="70" spans="1:4" ht="15.75" customHeight="1">
      <c r="A70" s="29" t="s">
        <v>314</v>
      </c>
      <c r="B70" s="53"/>
      <c r="C70" s="53">
        <f>SUM(C66:C69)</f>
        <v>30</v>
      </c>
      <c r="D70" s="54">
        <f>SUM(D66:D69)</f>
        <v>1</v>
      </c>
    </row>
    <row r="72" spans="1:4" ht="15.75" customHeight="1">
      <c r="A72" s="10" t="s">
        <v>327</v>
      </c>
      <c r="B72" s="10" t="s">
        <v>328</v>
      </c>
      <c r="C72" s="10" t="s">
        <v>329</v>
      </c>
    </row>
    <row r="73" spans="1:4" ht="107.25" customHeight="1">
      <c r="A73" s="55">
        <v>1</v>
      </c>
      <c r="B73" s="8" t="s">
        <v>72</v>
      </c>
      <c r="C73" s="56" t="s">
        <v>330</v>
      </c>
    </row>
    <row r="74" spans="1:4" ht="122.25" customHeight="1">
      <c r="A74" s="55">
        <v>2</v>
      </c>
      <c r="B74" s="8"/>
      <c r="C74" s="55" t="s">
        <v>331</v>
      </c>
    </row>
    <row r="75" spans="1:4" ht="191.25" customHeight="1">
      <c r="A75" s="55">
        <v>3</v>
      </c>
      <c r="B75" s="8"/>
      <c r="C75" s="55" t="s">
        <v>332</v>
      </c>
    </row>
    <row r="76" spans="1:4" ht="165.75" customHeight="1">
      <c r="A76" s="55">
        <v>4</v>
      </c>
      <c r="B76" s="8"/>
      <c r="C76" s="55" t="s">
        <v>333</v>
      </c>
    </row>
    <row r="77" spans="1:4" ht="118.5" customHeight="1">
      <c r="A77" s="55">
        <v>5</v>
      </c>
      <c r="B77" s="8"/>
      <c r="C77" s="55" t="s">
        <v>334</v>
      </c>
    </row>
    <row r="78" spans="1:4" ht="121.5" customHeight="1">
      <c r="A78" s="55">
        <v>6</v>
      </c>
      <c r="B78" s="8"/>
      <c r="C78" s="55" t="s">
        <v>335</v>
      </c>
    </row>
    <row r="79" spans="1:4" ht="165.75" customHeight="1">
      <c r="A79" s="55">
        <v>7</v>
      </c>
      <c r="B79" s="8"/>
      <c r="C79" s="55" t="s">
        <v>336</v>
      </c>
    </row>
    <row r="80" spans="1:4" ht="109.5" customHeight="1">
      <c r="A80" s="55">
        <v>8</v>
      </c>
      <c r="B80" s="8"/>
      <c r="C80" s="55" t="s">
        <v>337</v>
      </c>
    </row>
    <row r="81" spans="1:3" ht="138.75" customHeight="1">
      <c r="A81" s="55">
        <v>9</v>
      </c>
      <c r="B81" s="8"/>
      <c r="C81" s="55" t="s">
        <v>338</v>
      </c>
    </row>
    <row r="82" spans="1:3" ht="153" customHeight="1">
      <c r="A82" s="55">
        <v>10</v>
      </c>
      <c r="B82" s="8"/>
      <c r="C82" s="55" t="s">
        <v>339</v>
      </c>
    </row>
    <row r="83" spans="1:3" ht="127.5" customHeight="1">
      <c r="C83" s="10" t="s">
        <v>340</v>
      </c>
    </row>
    <row r="84" spans="1:3" ht="127.5" customHeight="1">
      <c r="C84" s="10" t="s">
        <v>341</v>
      </c>
    </row>
    <row r="85" spans="1:3" ht="165.75" customHeight="1">
      <c r="C85" s="10" t="s">
        <v>342</v>
      </c>
    </row>
    <row r="86" spans="1:3" ht="140.25" customHeight="1">
      <c r="C86" s="10" t="s">
        <v>343</v>
      </c>
    </row>
    <row r="87" spans="1:3" ht="114.75" customHeight="1">
      <c r="C87" s="10" t="s">
        <v>344</v>
      </c>
    </row>
    <row r="88" spans="1:3" ht="153" customHeight="1">
      <c r="C88" s="10" t="s">
        <v>345</v>
      </c>
    </row>
    <row r="89" spans="1:3" ht="153" customHeight="1">
      <c r="C89" s="10" t="s">
        <v>346</v>
      </c>
    </row>
  </sheetData>
  <mergeCells count="1">
    <mergeCell ref="B73:B82"/>
  </mergeCells>
  <dataValidations count="1">
    <dataValidation type="list" allowBlank="1" showInputMessage="1" showErrorMessage="1" sqref="H5:H34" xr:uid="{00000000-0002-0000-0000-000000000000}">
      <formula1>#REF!</formula1>
      <formula2>0</formula2>
    </dataValidation>
  </dataValidations>
  <pageMargins left="0.7" right="0.7" top="0.75" bottom="0.75" header="0.511811023622047" footer="0.511811023622047"/>
  <pageSetup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zoomScaleNormal="100" workbookViewId="0">
      <selection activeCell="B14" sqref="B14"/>
    </sheetView>
  </sheetViews>
  <sheetFormatPr defaultColWidth="8.7109375" defaultRowHeight="15" customHeight="1"/>
  <cols>
    <col min="1" max="1" width="24" customWidth="1"/>
    <col min="2" max="2" width="42" customWidth="1"/>
    <col min="3" max="3" width="58" customWidth="1"/>
  </cols>
  <sheetData>
    <row r="1" spans="1:8" ht="18.75" customHeight="1">
      <c r="A1" s="7" t="s">
        <v>347</v>
      </c>
      <c r="B1" s="7"/>
      <c r="C1" s="7"/>
      <c r="D1" s="7"/>
      <c r="E1" s="7"/>
      <c r="F1" s="7"/>
      <c r="G1" s="7"/>
      <c r="H1" s="7"/>
    </row>
    <row r="3" spans="1:8" ht="15" customHeight="1">
      <c r="A3" s="57" t="s">
        <v>348</v>
      </c>
      <c r="B3" s="57" t="s">
        <v>349</v>
      </c>
      <c r="C3" s="57" t="s">
        <v>350</v>
      </c>
    </row>
    <row r="4" spans="1:8" ht="15" customHeight="1">
      <c r="A4" s="58" t="s">
        <v>351</v>
      </c>
      <c r="B4" s="58" t="s">
        <v>352</v>
      </c>
      <c r="C4" s="58" t="s">
        <v>353</v>
      </c>
    </row>
    <row r="5" spans="1:8" ht="27.75" customHeight="1">
      <c r="A5" s="58" t="s">
        <v>354</v>
      </c>
      <c r="B5" s="58" t="s">
        <v>355</v>
      </c>
      <c r="C5" s="58" t="s">
        <v>356</v>
      </c>
    </row>
    <row r="6" spans="1:8" ht="15" customHeight="1">
      <c r="A6" s="58" t="s">
        <v>357</v>
      </c>
      <c r="B6" s="58" t="s">
        <v>358</v>
      </c>
      <c r="C6" s="58" t="s">
        <v>359</v>
      </c>
    </row>
    <row r="7" spans="1:8" ht="15" customHeight="1">
      <c r="A7" s="58" t="s">
        <v>360</v>
      </c>
      <c r="B7" s="58" t="s">
        <v>361</v>
      </c>
      <c r="C7" s="58" t="s">
        <v>362</v>
      </c>
    </row>
    <row r="8" spans="1:8" ht="15" customHeight="1">
      <c r="A8" s="58" t="s">
        <v>363</v>
      </c>
      <c r="B8" s="58" t="s">
        <v>364</v>
      </c>
      <c r="C8" s="58" t="s">
        <v>365</v>
      </c>
    </row>
    <row r="9" spans="1:8" ht="27.75" customHeight="1">
      <c r="A9" s="58" t="s">
        <v>366</v>
      </c>
      <c r="B9" s="58" t="s">
        <v>367</v>
      </c>
      <c r="C9" s="58" t="s">
        <v>368</v>
      </c>
    </row>
    <row r="10" spans="1:8" ht="15" customHeight="1">
      <c r="A10" s="58" t="s">
        <v>369</v>
      </c>
      <c r="B10" s="58" t="s">
        <v>370</v>
      </c>
      <c r="C10" s="58" t="s">
        <v>371</v>
      </c>
    </row>
    <row r="11" spans="1:8" ht="15" customHeight="1">
      <c r="A11" s="58" t="s">
        <v>372</v>
      </c>
      <c r="B11" s="58" t="s">
        <v>373</v>
      </c>
      <c r="C11" s="58" t="s">
        <v>374</v>
      </c>
    </row>
    <row r="12" spans="1:8" ht="30" customHeight="1">
      <c r="A12" s="58" t="s">
        <v>375</v>
      </c>
      <c r="B12" s="58" t="s">
        <v>376</v>
      </c>
      <c r="C12" s="58" t="s">
        <v>377</v>
      </c>
    </row>
  </sheetData>
  <mergeCells count="1">
    <mergeCell ref="A1:H1"/>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
  <sheetViews>
    <sheetView zoomScaleNormal="100" workbookViewId="0">
      <selection activeCell="B4" sqref="B4"/>
    </sheetView>
  </sheetViews>
  <sheetFormatPr defaultColWidth="8.7109375" defaultRowHeight="15" customHeight="1"/>
  <cols>
    <col min="1" max="1" width="40" customWidth="1"/>
    <col min="2" max="2" width="12" customWidth="1"/>
    <col min="3" max="3" width="14" customWidth="1"/>
    <col min="4" max="4" width="22" customWidth="1"/>
  </cols>
  <sheetData>
    <row r="1" spans="1:4" ht="18.75" customHeight="1">
      <c r="A1" s="7" t="s">
        <v>378</v>
      </c>
      <c r="B1" s="7"/>
      <c r="C1" s="7"/>
      <c r="D1" s="7"/>
    </row>
    <row r="3" spans="1:4" ht="21.75" customHeight="1">
      <c r="A3" s="57" t="s">
        <v>379</v>
      </c>
      <c r="B3" s="57" t="s">
        <v>380</v>
      </c>
      <c r="C3" s="57" t="s">
        <v>381</v>
      </c>
      <c r="D3" s="57" t="s">
        <v>382</v>
      </c>
    </row>
    <row r="4" spans="1:4" ht="15" customHeight="1">
      <c r="A4" t="s">
        <v>158</v>
      </c>
      <c r="B4">
        <f>'Olah Data 3 -Form Responses (3)'!F43</f>
        <v>5</v>
      </c>
      <c r="C4" s="59">
        <f>B4/$B$10</f>
        <v>0.26315789473684209</v>
      </c>
      <c r="D4" t="s">
        <v>383</v>
      </c>
    </row>
    <row r="5" spans="1:4" ht="15" customHeight="1">
      <c r="A5" t="s">
        <v>174</v>
      </c>
      <c r="B5">
        <f>'Olah Data 3 -Form Responses (3)'!F44</f>
        <v>5</v>
      </c>
      <c r="C5" s="59">
        <f>B5/$B$10</f>
        <v>0.26315789473684209</v>
      </c>
      <c r="D5" t="s">
        <v>384</v>
      </c>
    </row>
    <row r="6" spans="1:4" ht="15" customHeight="1">
      <c r="A6" t="s">
        <v>78</v>
      </c>
      <c r="B6">
        <f>'Olah Data 3 -Form Responses (3)'!F45</f>
        <v>3</v>
      </c>
      <c r="C6" s="59">
        <f>B6/$B$10</f>
        <v>0.15789473684210525</v>
      </c>
      <c r="D6" t="s">
        <v>385</v>
      </c>
    </row>
    <row r="7" spans="1:4" ht="15" customHeight="1">
      <c r="A7" t="s">
        <v>386</v>
      </c>
      <c r="B7">
        <f>'Olah Data 3 -Form Responses (3)'!F46</f>
        <v>4</v>
      </c>
      <c r="C7" s="59">
        <f>B7/$B$10</f>
        <v>0.21052631578947367</v>
      </c>
      <c r="D7" t="s">
        <v>387</v>
      </c>
    </row>
    <row r="8" spans="1:4" ht="15" customHeight="1">
      <c r="A8" t="s">
        <v>203</v>
      </c>
      <c r="B8">
        <f>'Olah Data 3 -Form Responses (3)'!F47</f>
        <v>2</v>
      </c>
      <c r="C8" s="59">
        <f>B8/$B$10</f>
        <v>0.10526315789473684</v>
      </c>
      <c r="D8" t="s">
        <v>388</v>
      </c>
    </row>
    <row r="9" spans="1:4" ht="15" customHeight="1">
      <c r="C9" s="59"/>
    </row>
    <row r="10" spans="1:4" ht="15" customHeight="1">
      <c r="A10" s="60" t="s">
        <v>389</v>
      </c>
      <c r="B10" s="60">
        <f>SUM(B4:B8)</f>
        <v>19</v>
      </c>
      <c r="C10" s="61">
        <f>SUM(C4:C8)</f>
        <v>0.99999999999999989</v>
      </c>
      <c r="D10" s="60" t="s">
        <v>390</v>
      </c>
    </row>
  </sheetData>
  <mergeCells count="1">
    <mergeCell ref="A1:D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zoomScaleNormal="100" workbookViewId="0">
      <selection activeCell="A8" sqref="A8"/>
    </sheetView>
  </sheetViews>
  <sheetFormatPr defaultColWidth="8.7109375" defaultRowHeight="15" customHeight="1"/>
  <cols>
    <col min="1" max="1" width="10" customWidth="1"/>
    <col min="2" max="2" width="34" customWidth="1"/>
    <col min="3" max="6" width="13" customWidth="1"/>
    <col min="7" max="7" width="18" customWidth="1"/>
    <col min="8" max="8" width="32" customWidth="1"/>
  </cols>
  <sheetData>
    <row r="1" spans="1:8" ht="18.75" customHeight="1">
      <c r="A1" s="7" t="s">
        <v>391</v>
      </c>
      <c r="B1" s="7"/>
      <c r="C1" s="7"/>
      <c r="D1" s="7"/>
      <c r="E1" s="7"/>
      <c r="F1" s="7"/>
      <c r="G1" s="7"/>
      <c r="H1" s="7"/>
    </row>
    <row r="3" spans="1:8" ht="15" customHeight="1">
      <c r="A3" s="57" t="s">
        <v>392</v>
      </c>
      <c r="B3" s="57" t="s">
        <v>393</v>
      </c>
      <c r="C3" s="57" t="s">
        <v>394</v>
      </c>
      <c r="D3" s="57" t="s">
        <v>395</v>
      </c>
      <c r="E3" s="57" t="s">
        <v>354</v>
      </c>
      <c r="F3" s="57" t="s">
        <v>396</v>
      </c>
      <c r="G3" s="57" t="s">
        <v>397</v>
      </c>
      <c r="H3" s="57" t="s">
        <v>382</v>
      </c>
    </row>
    <row r="4" spans="1:8" ht="15" customHeight="1">
      <c r="A4" s="58" t="s">
        <v>398</v>
      </c>
      <c r="B4" s="58" t="s">
        <v>399</v>
      </c>
      <c r="C4" s="58">
        <f>'Olah Data 3 -Form Responses (3)'!$F$48</f>
        <v>19</v>
      </c>
      <c r="D4" s="58">
        <f>'Olah Data 3 -Form Responses (3)'!BG39</f>
        <v>24</v>
      </c>
      <c r="E4" s="62">
        <f t="shared" ref="E4:E10" si="0">(D4-(C4/2))/(C4/2)</f>
        <v>1.5263157894736843</v>
      </c>
      <c r="F4" s="62">
        <f t="shared" ref="F4:F10" si="1">D4/C4</f>
        <v>1.263157894736842</v>
      </c>
      <c r="G4" s="58" t="str">
        <f t="shared" ref="G4:G10" si="2">IF(E4&gt;=0.49,"Valid","Tidak valid")</f>
        <v>Valid</v>
      </c>
      <c r="H4" s="58" t="s">
        <v>400</v>
      </c>
    </row>
    <row r="5" spans="1:8" ht="15" customHeight="1">
      <c r="A5" s="58" t="s">
        <v>401</v>
      </c>
      <c r="B5" s="58" t="s">
        <v>402</v>
      </c>
      <c r="C5" s="58">
        <f>'Olah Data 3 -Form Responses (3)'!$F$48</f>
        <v>19</v>
      </c>
      <c r="D5" s="58">
        <f>'Olah Data 3 -Form Responses (3)'!BH39</f>
        <v>19</v>
      </c>
      <c r="E5" s="62">
        <f t="shared" si="0"/>
        <v>1</v>
      </c>
      <c r="F5" s="62">
        <f t="shared" si="1"/>
        <v>1</v>
      </c>
      <c r="G5" s="58" t="str">
        <f t="shared" si="2"/>
        <v>Valid</v>
      </c>
      <c r="H5" s="58" t="s">
        <v>403</v>
      </c>
    </row>
    <row r="6" spans="1:8" ht="15" customHeight="1">
      <c r="A6" s="58" t="s">
        <v>404</v>
      </c>
      <c r="B6" s="58" t="s">
        <v>405</v>
      </c>
      <c r="C6" s="58">
        <f>'Olah Data 3 -Form Responses (3)'!$F$48</f>
        <v>19</v>
      </c>
      <c r="D6" s="58">
        <f>'Olah Data 3 -Form Responses (3)'!BI39</f>
        <v>17</v>
      </c>
      <c r="E6" s="62">
        <f t="shared" si="0"/>
        <v>0.78947368421052633</v>
      </c>
      <c r="F6" s="62">
        <f t="shared" si="1"/>
        <v>0.89473684210526316</v>
      </c>
      <c r="G6" s="58" t="str">
        <f t="shared" si="2"/>
        <v>Valid</v>
      </c>
      <c r="H6" s="58" t="s">
        <v>406</v>
      </c>
    </row>
    <row r="7" spans="1:8" ht="15" customHeight="1">
      <c r="A7" s="58" t="s">
        <v>407</v>
      </c>
      <c r="B7" s="58" t="s">
        <v>408</v>
      </c>
      <c r="C7" s="58">
        <f>'Olah Data 3 -Form Responses (3)'!$F$48</f>
        <v>19</v>
      </c>
      <c r="D7" s="58">
        <f>'Olah Data 3 -Form Responses (3)'!BJ39</f>
        <v>18</v>
      </c>
      <c r="E7" s="62">
        <f t="shared" si="0"/>
        <v>0.89473684210526316</v>
      </c>
      <c r="F7" s="62">
        <f t="shared" si="1"/>
        <v>0.94736842105263153</v>
      </c>
      <c r="G7" s="58" t="str">
        <f t="shared" si="2"/>
        <v>Valid</v>
      </c>
      <c r="H7" s="58" t="s">
        <v>409</v>
      </c>
    </row>
    <row r="8" spans="1:8" ht="15" customHeight="1">
      <c r="A8" s="58" t="s">
        <v>410</v>
      </c>
      <c r="B8" s="58" t="s">
        <v>411</v>
      </c>
      <c r="C8" s="58">
        <f>'Olah Data 3 -Form Responses (3)'!$F$48</f>
        <v>19</v>
      </c>
      <c r="D8" s="58">
        <f>'Olah Data 3 -Form Responses (3)'!BK39</f>
        <v>19</v>
      </c>
      <c r="E8" s="62">
        <f t="shared" si="0"/>
        <v>1</v>
      </c>
      <c r="F8" s="62">
        <f t="shared" si="1"/>
        <v>1</v>
      </c>
      <c r="G8" s="58" t="str">
        <f t="shared" si="2"/>
        <v>Valid</v>
      </c>
      <c r="H8" s="58" t="s">
        <v>412</v>
      </c>
    </row>
    <row r="9" spans="1:8" ht="15" customHeight="1">
      <c r="A9" s="58" t="s">
        <v>413</v>
      </c>
      <c r="B9" s="58" t="s">
        <v>414</v>
      </c>
      <c r="C9" s="58">
        <f>'Olah Data 3 -Form Responses (3)'!$F$48</f>
        <v>19</v>
      </c>
      <c r="D9" s="58">
        <f>'Olah Data 3 -Form Responses (3)'!BL39</f>
        <v>15</v>
      </c>
      <c r="E9" s="62">
        <f t="shared" si="0"/>
        <v>0.57894736842105265</v>
      </c>
      <c r="F9" s="62">
        <f t="shared" si="1"/>
        <v>0.78947368421052633</v>
      </c>
      <c r="G9" s="58" t="str">
        <f t="shared" si="2"/>
        <v>Valid</v>
      </c>
      <c r="H9" s="58" t="s">
        <v>415</v>
      </c>
    </row>
    <row r="10" spans="1:8" ht="15" customHeight="1">
      <c r="A10" s="58" t="s">
        <v>416</v>
      </c>
      <c r="B10" s="58" t="s">
        <v>417</v>
      </c>
      <c r="C10" s="58">
        <f>'Olah Data 3 -Form Responses (3)'!$F$48</f>
        <v>19</v>
      </c>
      <c r="D10" s="58">
        <f>'Olah Data 3 -Form Responses (3)'!BM39</f>
        <v>19</v>
      </c>
      <c r="E10" s="62">
        <f t="shared" si="0"/>
        <v>1</v>
      </c>
      <c r="F10" s="62">
        <f t="shared" si="1"/>
        <v>1</v>
      </c>
      <c r="G10" s="58" t="str">
        <f t="shared" si="2"/>
        <v>Valid</v>
      </c>
      <c r="H10" s="58" t="s">
        <v>418</v>
      </c>
    </row>
    <row r="11" spans="1:8" ht="15" customHeight="1">
      <c r="A11" s="58"/>
      <c r="B11" s="58"/>
      <c r="C11" s="58"/>
      <c r="D11" s="58"/>
      <c r="E11" s="62"/>
      <c r="F11" s="62"/>
      <c r="G11" s="58"/>
      <c r="H11" s="58"/>
    </row>
    <row r="12" spans="1:8" ht="15" customHeight="1">
      <c r="A12" s="57" t="s">
        <v>419</v>
      </c>
      <c r="B12" s="57"/>
      <c r="C12" s="57"/>
      <c r="D12" s="57"/>
      <c r="E12" s="63"/>
      <c r="F12" s="63"/>
      <c r="G12" s="58"/>
      <c r="H12" s="58"/>
    </row>
    <row r="13" spans="1:8" ht="30" customHeight="1">
      <c r="A13" s="58" t="s">
        <v>420</v>
      </c>
      <c r="B13" s="58"/>
      <c r="C13" s="58"/>
      <c r="D13" s="58"/>
      <c r="E13" s="62">
        <f>MIN(E4:E10)</f>
        <v>0.57894736842105265</v>
      </c>
      <c r="F13" s="62" t="s">
        <v>421</v>
      </c>
      <c r="G13" s="58"/>
      <c r="H13" s="58"/>
    </row>
    <row r="14" spans="1:8" ht="30" customHeight="1">
      <c r="A14" s="58" t="s">
        <v>422</v>
      </c>
      <c r="B14" s="58"/>
      <c r="C14" s="58"/>
      <c r="D14" s="58"/>
      <c r="E14" s="62">
        <f>MAX(E4:E10)</f>
        <v>1.5263157894736843</v>
      </c>
      <c r="F14" s="62" t="s">
        <v>421</v>
      </c>
      <c r="G14" s="58"/>
      <c r="H14" s="58"/>
    </row>
    <row r="15" spans="1:8" ht="30" customHeight="1">
      <c r="A15" s="58" t="s">
        <v>357</v>
      </c>
      <c r="B15" s="58"/>
      <c r="C15" s="58"/>
      <c r="D15" s="58"/>
      <c r="E15" s="62">
        <f>AVERAGE(F4:F10)</f>
        <v>0.98496240601503771</v>
      </c>
      <c r="F15" s="62" t="s">
        <v>423</v>
      </c>
      <c r="G15" s="58"/>
      <c r="H15" s="58"/>
    </row>
  </sheetData>
  <mergeCells count="1">
    <mergeCell ref="A1:H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3"/>
  <sheetViews>
    <sheetView zoomScaleNormal="100" workbookViewId="0">
      <selection activeCell="G10" sqref="G10"/>
    </sheetView>
  </sheetViews>
  <sheetFormatPr defaultColWidth="8.7109375" defaultRowHeight="15" customHeight="1"/>
  <cols>
    <col min="1" max="1" width="10" customWidth="1"/>
    <col min="2" max="2" width="34" customWidth="1"/>
    <col min="3" max="6" width="14" customWidth="1"/>
    <col min="7" max="8" width="20" customWidth="1"/>
    <col min="9" max="9" width="38" customWidth="1"/>
  </cols>
  <sheetData>
    <row r="1" spans="1:9" ht="18.75" customHeight="1">
      <c r="A1" s="7" t="s">
        <v>424</v>
      </c>
      <c r="B1" s="7"/>
      <c r="C1" s="7"/>
      <c r="D1" s="7"/>
      <c r="E1" s="7"/>
      <c r="F1" s="7"/>
      <c r="G1" s="7"/>
      <c r="H1" s="7"/>
      <c r="I1" s="7"/>
    </row>
    <row r="3" spans="1:9" ht="30" customHeight="1">
      <c r="A3" s="57" t="s">
        <v>392</v>
      </c>
      <c r="B3" s="57" t="s">
        <v>393</v>
      </c>
      <c r="C3" s="57" t="s">
        <v>425</v>
      </c>
      <c r="D3" s="57" t="s">
        <v>426</v>
      </c>
      <c r="E3" s="57" t="s">
        <v>427</v>
      </c>
      <c r="F3" s="57" t="s">
        <v>428</v>
      </c>
      <c r="G3" s="57" t="s">
        <v>360</v>
      </c>
      <c r="H3" s="57" t="s">
        <v>397</v>
      </c>
      <c r="I3" s="57" t="s">
        <v>382</v>
      </c>
    </row>
    <row r="4" spans="1:9" ht="15" customHeight="1">
      <c r="A4" s="58" t="s">
        <v>398</v>
      </c>
      <c r="B4" s="58" t="s">
        <v>399</v>
      </c>
      <c r="C4" s="58">
        <f>'Olah Data 3 -Form Responses (3)'!$F$48</f>
        <v>19</v>
      </c>
      <c r="D4" s="58">
        <v>5</v>
      </c>
      <c r="E4" s="58">
        <v>1</v>
      </c>
      <c r="F4" s="58">
        <v>60</v>
      </c>
      <c r="G4" s="62">
        <f t="shared" ref="G4:G10" si="0">F4/(C4*(D4-E4))</f>
        <v>0.78947368421052633</v>
      </c>
      <c r="H4" s="58" t="str">
        <f t="shared" ref="H4:H10" si="1">IF(G4&gt;=0.8,"Kesepakatan pakar tinggi","Cukup")</f>
        <v>Cukup</v>
      </c>
      <c r="I4" s="58" t="s">
        <v>429</v>
      </c>
    </row>
    <row r="5" spans="1:9" ht="27.75" customHeight="1">
      <c r="A5" s="58" t="s">
        <v>401</v>
      </c>
      <c r="B5" s="58" t="s">
        <v>402</v>
      </c>
      <c r="C5" s="58">
        <f>'Olah Data 3 -Form Responses (3)'!$F$48</f>
        <v>19</v>
      </c>
      <c r="D5" s="58">
        <v>5</v>
      </c>
      <c r="E5" s="58">
        <v>1</v>
      </c>
      <c r="F5" s="58">
        <v>66</v>
      </c>
      <c r="G5" s="62">
        <f t="shared" si="0"/>
        <v>0.86842105263157898</v>
      </c>
      <c r="H5" s="58" t="str">
        <f t="shared" si="1"/>
        <v>Kesepakatan pakar tinggi</v>
      </c>
      <c r="I5" s="58" t="s">
        <v>430</v>
      </c>
    </row>
    <row r="6" spans="1:9" ht="27.75" customHeight="1">
      <c r="A6" s="58" t="s">
        <v>404</v>
      </c>
      <c r="B6" s="58" t="s">
        <v>405</v>
      </c>
      <c r="C6" s="58">
        <f>'Olah Data 3 -Form Responses (3)'!$F$48</f>
        <v>19</v>
      </c>
      <c r="D6" s="58">
        <v>5</v>
      </c>
      <c r="E6" s="58">
        <v>1</v>
      </c>
      <c r="F6" s="58">
        <v>71</v>
      </c>
      <c r="G6" s="62">
        <f t="shared" si="0"/>
        <v>0.93421052631578949</v>
      </c>
      <c r="H6" s="58" t="str">
        <f t="shared" si="1"/>
        <v>Kesepakatan pakar tinggi</v>
      </c>
      <c r="I6" s="58" t="s">
        <v>431</v>
      </c>
    </row>
    <row r="7" spans="1:9" ht="27.75" customHeight="1">
      <c r="A7" s="58" t="s">
        <v>407</v>
      </c>
      <c r="B7" s="58" t="s">
        <v>408</v>
      </c>
      <c r="C7" s="58">
        <f>'Olah Data 3 -Form Responses (3)'!$F$48</f>
        <v>19</v>
      </c>
      <c r="D7" s="58">
        <v>5</v>
      </c>
      <c r="E7" s="58">
        <v>1</v>
      </c>
      <c r="F7" s="58">
        <v>62</v>
      </c>
      <c r="G7" s="62">
        <f t="shared" si="0"/>
        <v>0.81578947368421051</v>
      </c>
      <c r="H7" s="58" t="str">
        <f t="shared" si="1"/>
        <v>Kesepakatan pakar tinggi</v>
      </c>
      <c r="I7" s="58" t="s">
        <v>432</v>
      </c>
    </row>
    <row r="8" spans="1:9" ht="27.75" customHeight="1">
      <c r="A8" s="58" t="s">
        <v>410</v>
      </c>
      <c r="B8" s="58" t="s">
        <v>411</v>
      </c>
      <c r="C8" s="58">
        <f>'Olah Data 3 -Form Responses (3)'!$F$48</f>
        <v>19</v>
      </c>
      <c r="D8" s="58">
        <v>5</v>
      </c>
      <c r="E8" s="58">
        <v>1</v>
      </c>
      <c r="F8" s="58">
        <v>69</v>
      </c>
      <c r="G8" s="62">
        <f t="shared" si="0"/>
        <v>0.90789473684210531</v>
      </c>
      <c r="H8" s="58" t="str">
        <f t="shared" si="1"/>
        <v>Kesepakatan pakar tinggi</v>
      </c>
      <c r="I8" s="58" t="s">
        <v>433</v>
      </c>
    </row>
    <row r="9" spans="1:9" ht="15" customHeight="1">
      <c r="A9" s="58" t="s">
        <v>413</v>
      </c>
      <c r="B9" s="58" t="s">
        <v>414</v>
      </c>
      <c r="C9" s="58">
        <f>'Olah Data 3 -Form Responses (3)'!$F$48</f>
        <v>19</v>
      </c>
      <c r="D9" s="58">
        <v>5</v>
      </c>
      <c r="E9" s="58">
        <v>1</v>
      </c>
      <c r="F9" s="58">
        <v>60</v>
      </c>
      <c r="G9" s="62">
        <f t="shared" si="0"/>
        <v>0.78947368421052633</v>
      </c>
      <c r="H9" s="58" t="str">
        <f t="shared" si="1"/>
        <v>Cukup</v>
      </c>
      <c r="I9" s="58" t="s">
        <v>434</v>
      </c>
    </row>
    <row r="10" spans="1:9" ht="27.75" customHeight="1">
      <c r="A10" s="58" t="s">
        <v>416</v>
      </c>
      <c r="B10" s="58" t="s">
        <v>417</v>
      </c>
      <c r="C10" s="58">
        <f>'Olah Data 3 -Form Responses (3)'!$F$48</f>
        <v>19</v>
      </c>
      <c r="D10" s="58">
        <v>5</v>
      </c>
      <c r="E10" s="58">
        <v>1</v>
      </c>
      <c r="F10" s="58">
        <v>71</v>
      </c>
      <c r="G10" s="62">
        <f t="shared" si="0"/>
        <v>0.93421052631578949</v>
      </c>
      <c r="H10" s="58" t="str">
        <f t="shared" si="1"/>
        <v>Kesepakatan pakar tinggi</v>
      </c>
      <c r="I10" s="58" t="s">
        <v>435</v>
      </c>
    </row>
    <row r="11" spans="1:9" ht="15" customHeight="1">
      <c r="A11" s="58"/>
      <c r="B11" s="58"/>
      <c r="C11" s="58"/>
      <c r="D11" s="58"/>
      <c r="E11" s="58"/>
      <c r="F11" s="58"/>
      <c r="G11" s="62"/>
      <c r="H11" s="58"/>
      <c r="I11" s="58"/>
    </row>
    <row r="12" spans="1:9" ht="15" customHeight="1">
      <c r="A12" s="57" t="s">
        <v>419</v>
      </c>
      <c r="B12" s="57"/>
      <c r="C12" s="57"/>
      <c r="D12" s="58"/>
      <c r="E12" s="58"/>
      <c r="F12" s="58"/>
      <c r="G12" s="62"/>
      <c r="H12" s="58"/>
      <c r="I12" s="58"/>
    </row>
    <row r="13" spans="1:9" ht="30" customHeight="1">
      <c r="A13" s="58" t="s">
        <v>436</v>
      </c>
      <c r="B13" s="58"/>
      <c r="C13" s="62">
        <f>MIN(G4:G10)</f>
        <v>0.78947368421052633</v>
      </c>
      <c r="D13" s="58"/>
      <c r="E13" s="58"/>
      <c r="F13" s="58"/>
      <c r="G13" s="62"/>
      <c r="H13" s="58"/>
      <c r="I13" s="58"/>
    </row>
    <row r="14" spans="1:9" ht="30" customHeight="1">
      <c r="A14" s="58" t="s">
        <v>437</v>
      </c>
      <c r="B14" s="58"/>
      <c r="C14" s="62">
        <f>MAX(G4:G10)</f>
        <v>0.93421052631578949</v>
      </c>
      <c r="D14" s="58"/>
      <c r="E14" s="58"/>
      <c r="F14" s="58"/>
      <c r="G14" s="62"/>
      <c r="H14" s="58"/>
      <c r="I14" s="58"/>
    </row>
    <row r="16" spans="1:9" ht="15" customHeight="1">
      <c r="A16" s="64" t="s">
        <v>438</v>
      </c>
    </row>
    <row r="18" spans="2:2" ht="15" customHeight="1">
      <c r="B18" t="s">
        <v>439</v>
      </c>
    </row>
    <row r="19" spans="2:2" ht="15" customHeight="1">
      <c r="B19" s="65" t="s">
        <v>440</v>
      </c>
    </row>
    <row r="20" spans="2:2" ht="15" customHeight="1">
      <c r="B20" s="65" t="s">
        <v>441</v>
      </c>
    </row>
    <row r="21" spans="2:2" ht="15" customHeight="1">
      <c r="B21" s="65" t="s">
        <v>442</v>
      </c>
    </row>
    <row r="22" spans="2:2" ht="15" customHeight="1">
      <c r="B22" t="s">
        <v>443</v>
      </c>
    </row>
    <row r="23" spans="2:2" ht="15" customHeight="1">
      <c r="B23" t="s">
        <v>444</v>
      </c>
    </row>
  </sheetData>
  <mergeCells count="1">
    <mergeCell ref="A1:I1"/>
  </mergeCell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6"/>
  <sheetViews>
    <sheetView zoomScaleNormal="100" workbookViewId="0"/>
  </sheetViews>
  <sheetFormatPr defaultColWidth="8.7109375" defaultRowHeight="15" customHeight="1"/>
  <cols>
    <col min="1" max="1" width="24" customWidth="1"/>
    <col min="2" max="3" width="32" customWidth="1"/>
    <col min="4" max="4" width="35" customWidth="1"/>
    <col min="5" max="5" width="12" customWidth="1"/>
    <col min="6" max="6" width="30" customWidth="1"/>
  </cols>
  <sheetData>
    <row r="1" spans="1:6" ht="18.75" customHeight="1">
      <c r="A1" s="6" t="s">
        <v>445</v>
      </c>
      <c r="B1" s="6"/>
      <c r="C1" s="6"/>
      <c r="D1" s="6"/>
      <c r="E1" s="6"/>
      <c r="F1" s="6"/>
    </row>
    <row r="3" spans="1:6" ht="15" customHeight="1">
      <c r="A3" s="57" t="s">
        <v>446</v>
      </c>
      <c r="B3" s="57" t="s">
        <v>447</v>
      </c>
      <c r="C3" s="57" t="s">
        <v>448</v>
      </c>
      <c r="D3" s="57" t="s">
        <v>382</v>
      </c>
      <c r="E3" s="57" t="s">
        <v>449</v>
      </c>
      <c r="F3" s="57" t="s">
        <v>397</v>
      </c>
    </row>
    <row r="4" spans="1:6" ht="15" customHeight="1">
      <c r="A4" t="s">
        <v>363</v>
      </c>
      <c r="B4" t="s">
        <v>450</v>
      </c>
      <c r="C4" t="s">
        <v>451</v>
      </c>
      <c r="D4" t="s">
        <v>452</v>
      </c>
      <c r="E4" s="66">
        <f>7/(7-1)*(1-3.32/14)</f>
        <v>0.89000000000000012</v>
      </c>
      <c r="F4" t="s">
        <v>453</v>
      </c>
    </row>
    <row r="5" spans="1:6" ht="15" customHeight="1">
      <c r="A5" t="s">
        <v>366</v>
      </c>
      <c r="B5" t="s">
        <v>454</v>
      </c>
      <c r="C5" t="s">
        <v>455</v>
      </c>
      <c r="D5" t="s">
        <v>456</v>
      </c>
      <c r="E5" s="66">
        <f>7480/(19^2*((7^3-7)/12))</f>
        <v>0.74000791452314996</v>
      </c>
      <c r="F5" t="s">
        <v>457</v>
      </c>
    </row>
    <row r="6" spans="1:6" ht="15" customHeight="1">
      <c r="A6" t="s">
        <v>458</v>
      </c>
      <c r="B6" t="s">
        <v>459</v>
      </c>
      <c r="C6" t="s">
        <v>460</v>
      </c>
      <c r="D6" t="s">
        <v>461</v>
      </c>
      <c r="E6" s="67">
        <f>5-4</f>
        <v>1</v>
      </c>
      <c r="F6" t="s">
        <v>462</v>
      </c>
    </row>
  </sheetData>
  <mergeCells count="1">
    <mergeCell ref="A1:F1"/>
  </mergeCell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9"/>
  <sheetViews>
    <sheetView zoomScaleNormal="100" workbookViewId="0">
      <selection activeCell="C9" sqref="C9"/>
    </sheetView>
  </sheetViews>
  <sheetFormatPr defaultColWidth="8.7109375" defaultRowHeight="15" customHeight="1"/>
  <cols>
    <col min="1" max="1" width="24" customWidth="1"/>
    <col min="2" max="2" width="15" customWidth="1"/>
    <col min="3" max="3" width="32" customWidth="1"/>
    <col min="4" max="4" width="28" customWidth="1"/>
  </cols>
  <sheetData>
    <row r="1" spans="1:4" ht="18.75" customHeight="1">
      <c r="A1" s="6" t="s">
        <v>463</v>
      </c>
      <c r="B1" s="6"/>
      <c r="C1" s="6"/>
      <c r="D1" s="6"/>
    </row>
    <row r="3" spans="1:4" ht="15" customHeight="1">
      <c r="A3" s="57" t="s">
        <v>446</v>
      </c>
      <c r="B3" s="57" t="s">
        <v>449</v>
      </c>
      <c r="C3" s="57" t="s">
        <v>397</v>
      </c>
      <c r="D3" s="57" t="s">
        <v>464</v>
      </c>
    </row>
    <row r="4" spans="1:4" ht="15" customHeight="1">
      <c r="A4" t="s">
        <v>354</v>
      </c>
      <c r="B4" t="str">
        <f>TEXT('02 CVR CVI'!E13,"0.00")&amp;"-"&amp;TEXT('02 CVR CVI'!E14,"0.00")</f>
        <v>001-002</v>
      </c>
      <c r="C4" t="s">
        <v>421</v>
      </c>
      <c r="D4" t="s">
        <v>465</v>
      </c>
    </row>
    <row r="5" spans="1:4" ht="15" customHeight="1">
      <c r="A5" t="s">
        <v>357</v>
      </c>
      <c r="B5" t="str">
        <f>TEXT('02 CVR CVI'!E15,"0.00")</f>
        <v>001</v>
      </c>
      <c r="C5" t="s">
        <v>423</v>
      </c>
      <c r="D5" t="s">
        <v>466</v>
      </c>
    </row>
    <row r="6" spans="1:4" ht="15" customHeight="1">
      <c r="A6" t="s">
        <v>360</v>
      </c>
      <c r="B6" t="str">
        <f>TEXT('03 AikenV'!C13,"0.00")&amp;"-"&amp;TEXT('03 AikenV'!C14,"0.00")</f>
        <v>001-001</v>
      </c>
      <c r="C6" t="s">
        <v>467</v>
      </c>
      <c r="D6" t="s">
        <v>468</v>
      </c>
    </row>
    <row r="7" spans="1:4" ht="15" customHeight="1">
      <c r="A7" t="s">
        <v>363</v>
      </c>
      <c r="B7" t="str">
        <f>TEXT('04 Reliabilitas'!E4,"0.00")</f>
        <v>001</v>
      </c>
      <c r="C7" t="s">
        <v>453</v>
      </c>
      <c r="D7" t="s">
        <v>469</v>
      </c>
    </row>
    <row r="8" spans="1:4" ht="15" customHeight="1">
      <c r="A8" t="s">
        <v>366</v>
      </c>
      <c r="B8" t="str">
        <f>TEXT('04 Reliabilitas'!E5,"0.00")</f>
        <v>001</v>
      </c>
      <c r="C8" t="s">
        <v>457</v>
      </c>
      <c r="D8" t="s">
        <v>470</v>
      </c>
    </row>
    <row r="9" spans="1:4" ht="15" customHeight="1">
      <c r="A9" t="s">
        <v>471</v>
      </c>
      <c r="B9" t="str">
        <f>"≤"&amp;TEXT('04 Reliabilitas'!E6,"0")</f>
        <v>≤1</v>
      </c>
      <c r="C9" t="s">
        <v>472</v>
      </c>
      <c r="D9" t="s">
        <v>473</v>
      </c>
    </row>
  </sheetData>
  <mergeCells count="1">
    <mergeCell ref="A1:D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topLeftCell="A3" zoomScaleNormal="100" workbookViewId="0">
      <selection activeCell="A2" sqref="A2"/>
    </sheetView>
  </sheetViews>
  <sheetFormatPr defaultColWidth="8.7109375" defaultRowHeight="15" customHeight="1"/>
  <cols>
    <col min="1" max="1" width="32" customWidth="1"/>
    <col min="2" max="4" width="13" customWidth="1"/>
    <col min="5" max="5" width="14" customWidth="1"/>
    <col min="6" max="6" width="28" customWidth="1"/>
  </cols>
  <sheetData>
    <row r="1" spans="1:6" ht="18.75" customHeight="1">
      <c r="A1" s="6" t="s">
        <v>474</v>
      </c>
      <c r="B1" s="6"/>
      <c r="C1" s="6"/>
      <c r="D1" s="6"/>
      <c r="E1" s="6"/>
      <c r="F1" s="6"/>
    </row>
    <row r="3" spans="1:6" ht="15" customHeight="1">
      <c r="A3" s="57" t="s">
        <v>475</v>
      </c>
      <c r="B3" s="57" t="s">
        <v>476</v>
      </c>
      <c r="C3" s="57" t="s">
        <v>477</v>
      </c>
      <c r="D3" s="57" t="s">
        <v>478</v>
      </c>
      <c r="E3" s="57" t="s">
        <v>479</v>
      </c>
      <c r="F3" s="57" t="s">
        <v>382</v>
      </c>
    </row>
    <row r="4" spans="1:6" ht="15" customHeight="1">
      <c r="A4" t="s">
        <v>480</v>
      </c>
      <c r="B4" s="67">
        <v>78</v>
      </c>
      <c r="C4" s="67">
        <v>85</v>
      </c>
      <c r="D4" s="67">
        <f t="shared" ref="D4:D11" si="0">C4-B4</f>
        <v>7</v>
      </c>
      <c r="E4" t="str">
        <f t="shared" ref="E4:E11" si="1">IF(D4&lt;=20,"Managed",IF(D4&lt;=35,"Defined","Initial"))</f>
        <v>Managed</v>
      </c>
      <c r="F4" t="s">
        <v>481</v>
      </c>
    </row>
    <row r="5" spans="1:6" ht="15" customHeight="1">
      <c r="A5" t="s">
        <v>482</v>
      </c>
      <c r="B5" s="67">
        <v>75</v>
      </c>
      <c r="C5" s="67">
        <v>85</v>
      </c>
      <c r="D5" s="67">
        <f t="shared" si="0"/>
        <v>10</v>
      </c>
      <c r="E5" t="str">
        <f t="shared" si="1"/>
        <v>Managed</v>
      </c>
      <c r="F5" t="s">
        <v>483</v>
      </c>
    </row>
    <row r="6" spans="1:6" ht="15" customHeight="1">
      <c r="A6" t="s">
        <v>484</v>
      </c>
      <c r="B6" s="67">
        <v>72</v>
      </c>
      <c r="C6" s="67">
        <v>85</v>
      </c>
      <c r="D6" s="67">
        <f t="shared" si="0"/>
        <v>13</v>
      </c>
      <c r="E6" t="str">
        <f t="shared" si="1"/>
        <v>Managed</v>
      </c>
      <c r="F6" t="s">
        <v>485</v>
      </c>
    </row>
    <row r="7" spans="1:6" ht="15" customHeight="1">
      <c r="A7" t="s">
        <v>486</v>
      </c>
      <c r="B7" s="67">
        <v>69</v>
      </c>
      <c r="C7" s="67">
        <v>85</v>
      </c>
      <c r="D7" s="67">
        <f t="shared" si="0"/>
        <v>16</v>
      </c>
      <c r="E7" t="str">
        <f t="shared" si="1"/>
        <v>Managed</v>
      </c>
      <c r="F7" t="s">
        <v>487</v>
      </c>
    </row>
    <row r="8" spans="1:6" ht="15" customHeight="1">
      <c r="A8" t="s">
        <v>488</v>
      </c>
      <c r="B8" s="67">
        <v>66</v>
      </c>
      <c r="C8" s="67">
        <v>85</v>
      </c>
      <c r="D8" s="67">
        <f t="shared" si="0"/>
        <v>19</v>
      </c>
      <c r="E8" t="str">
        <f t="shared" si="1"/>
        <v>Managed</v>
      </c>
      <c r="F8" t="s">
        <v>489</v>
      </c>
    </row>
    <row r="9" spans="1:6" ht="15" customHeight="1">
      <c r="A9" t="s">
        <v>490</v>
      </c>
      <c r="B9" s="67">
        <v>70</v>
      </c>
      <c r="C9" s="67">
        <v>85</v>
      </c>
      <c r="D9" s="67">
        <f t="shared" si="0"/>
        <v>15</v>
      </c>
      <c r="E9" t="str">
        <f t="shared" si="1"/>
        <v>Managed</v>
      </c>
      <c r="F9" t="s">
        <v>491</v>
      </c>
    </row>
    <row r="10" spans="1:6" ht="15" customHeight="1">
      <c r="A10" t="s">
        <v>492</v>
      </c>
      <c r="B10" s="67">
        <v>68</v>
      </c>
      <c r="C10" s="67">
        <v>85</v>
      </c>
      <c r="D10" s="67">
        <f t="shared" si="0"/>
        <v>17</v>
      </c>
      <c r="E10" t="str">
        <f t="shared" si="1"/>
        <v>Managed</v>
      </c>
      <c r="F10" t="s">
        <v>493</v>
      </c>
    </row>
    <row r="11" spans="1:6" ht="15" customHeight="1">
      <c r="A11" t="s">
        <v>494</v>
      </c>
      <c r="B11" s="67">
        <v>73</v>
      </c>
      <c r="C11" s="67">
        <v>85</v>
      </c>
      <c r="D11" s="67">
        <f t="shared" si="0"/>
        <v>12</v>
      </c>
      <c r="E11" t="str">
        <f t="shared" si="1"/>
        <v>Managed</v>
      </c>
      <c r="F11" t="s">
        <v>495</v>
      </c>
    </row>
    <row r="12" spans="1:6" ht="15" customHeight="1">
      <c r="B12" s="68"/>
      <c r="C12" s="68"/>
      <c r="D12" s="68"/>
    </row>
    <row r="13" spans="1:6" ht="15" customHeight="1">
      <c r="A13" s="60" t="s">
        <v>496</v>
      </c>
      <c r="B13" s="69">
        <f>AVERAGE(B4:B11)</f>
        <v>71.375</v>
      </c>
      <c r="C13" s="69">
        <f>AVERAGE(C4:C11)</f>
        <v>85</v>
      </c>
      <c r="D13" s="69">
        <f>AVERAGE(D4:D11)</f>
        <v>13.625</v>
      </c>
      <c r="E13" s="60" t="str">
        <f>IF(D13&lt;=20,"Managed",IF(D13&lt;=35,"Defined","Initial"))</f>
        <v>Managed</v>
      </c>
      <c r="F13" s="60" t="s">
        <v>497</v>
      </c>
    </row>
  </sheetData>
  <mergeCells count="1">
    <mergeCell ref="A1:F1"/>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
  <sheetViews>
    <sheetView topLeftCell="A6" zoomScaleNormal="100" workbookViewId="0">
      <selection activeCell="A22" sqref="A22"/>
    </sheetView>
  </sheetViews>
  <sheetFormatPr defaultColWidth="8.7109375" defaultRowHeight="15" customHeight="1"/>
  <cols>
    <col min="1" max="1" width="34" customWidth="1"/>
    <col min="2" max="2" width="22" customWidth="1"/>
  </cols>
  <sheetData>
    <row r="1" spans="1:8" ht="18.75" customHeight="1">
      <c r="A1" s="7" t="s">
        <v>498</v>
      </c>
      <c r="B1" s="7"/>
      <c r="C1" s="7"/>
      <c r="D1" s="7"/>
      <c r="E1" s="7"/>
      <c r="F1" s="7"/>
      <c r="G1" s="7"/>
      <c r="H1" s="7"/>
    </row>
    <row r="3" spans="1:8" ht="15" customHeight="1">
      <c r="A3" s="57" t="s">
        <v>499</v>
      </c>
      <c r="B3" s="57" t="s">
        <v>500</v>
      </c>
    </row>
    <row r="4" spans="1:8" ht="15" customHeight="1">
      <c r="A4" s="58" t="s">
        <v>501</v>
      </c>
      <c r="B4" s="58">
        <f>'01 Profil Responden'!B10</f>
        <v>19</v>
      </c>
    </row>
    <row r="5" spans="1:8" ht="15" customHeight="1">
      <c r="A5" s="58" t="s">
        <v>502</v>
      </c>
      <c r="B5" s="58" t="str">
        <f>'05 Ringkasan_Uji'!B4</f>
        <v>001-002</v>
      </c>
    </row>
    <row r="6" spans="1:8" ht="15" customHeight="1">
      <c r="A6" s="58" t="s">
        <v>357</v>
      </c>
      <c r="B6" s="58" t="str">
        <f>'05 Ringkasan_Uji'!B5</f>
        <v>001</v>
      </c>
    </row>
    <row r="7" spans="1:8" ht="15" customHeight="1">
      <c r="A7" s="58" t="s">
        <v>503</v>
      </c>
      <c r="B7" s="58" t="str">
        <f>'05 Ringkasan_Uji'!B6</f>
        <v>001-001</v>
      </c>
    </row>
    <row r="8" spans="1:8" ht="15" customHeight="1">
      <c r="A8" s="58" t="s">
        <v>363</v>
      </c>
      <c r="B8" s="58" t="str">
        <f>'05 Ringkasan_Uji'!B7</f>
        <v>001</v>
      </c>
    </row>
    <row r="9" spans="1:8" ht="15" customHeight="1">
      <c r="A9" s="58" t="s">
        <v>366</v>
      </c>
      <c r="B9" s="58" t="str">
        <f>'05 Ringkasan_Uji'!B8</f>
        <v>001</v>
      </c>
    </row>
    <row r="10" spans="1:8" ht="15" customHeight="1">
      <c r="A10" s="58" t="s">
        <v>458</v>
      </c>
      <c r="B10" s="58" t="str">
        <f>'05 Ringkasan_Uji'!B9</f>
        <v>≤1</v>
      </c>
    </row>
    <row r="11" spans="1:8" ht="15" customHeight="1">
      <c r="A11" s="58" t="s">
        <v>504</v>
      </c>
      <c r="B11" s="58" t="str">
        <f>TEXT('06 Applicability Index_Gap'!B13,"0.0")&amp;"%"</f>
        <v>71%</v>
      </c>
    </row>
    <row r="12" spans="1:8" ht="15" customHeight="1">
      <c r="A12" s="58" t="s">
        <v>505</v>
      </c>
      <c r="B12" s="58" t="str">
        <f>TEXT('06 Applicability Index_Gap'!C13,"0.0")&amp;"%"</f>
        <v>85%</v>
      </c>
    </row>
    <row r="13" spans="1:8" ht="15" customHeight="1">
      <c r="A13" s="58" t="s">
        <v>506</v>
      </c>
      <c r="B13" s="58" t="str">
        <f>TEXT('06 Applicability Index_Gap'!D13,"0.0")&amp;"% / "&amp;'06 Applicability Index_Gap'!E13</f>
        <v>14% / Managed</v>
      </c>
    </row>
  </sheetData>
  <mergeCells count="1">
    <mergeCell ref="A1:H1"/>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D966"/>
  </sheetPr>
  <dimension ref="A1:AO24"/>
  <sheetViews>
    <sheetView showGridLines="0" tabSelected="1" zoomScale="70" zoomScaleNormal="70" workbookViewId="0">
      <pane xSplit="1" ySplit="4" topLeftCell="E5" activePane="bottomRight" state="frozen"/>
      <selection pane="topRight" activeCell="B1" sqref="B1"/>
      <selection pane="bottomLeft" activeCell="A5" sqref="A5"/>
      <selection pane="bottomRight" activeCell="A25" sqref="A25"/>
    </sheetView>
  </sheetViews>
  <sheetFormatPr defaultColWidth="8.7109375" defaultRowHeight="15" customHeight="1"/>
  <cols>
    <col min="1" max="1" width="13" customWidth="1"/>
    <col min="2" max="37" width="20" customWidth="1"/>
    <col min="38" max="41" width="16" customWidth="1"/>
  </cols>
  <sheetData>
    <row r="1" spans="1:41" ht="27.75" customHeight="1">
      <c r="A1" s="5" t="s">
        <v>507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row>
    <row r="2" spans="1:41" ht="27.75" customHeight="1">
      <c r="A2" s="4" t="s">
        <v>508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row>
    <row r="4" spans="1:41" ht="67.5" customHeight="1">
      <c r="A4" s="70" t="s">
        <v>509</v>
      </c>
      <c r="B4" s="70" t="s">
        <v>510</v>
      </c>
      <c r="C4" s="70" t="s">
        <v>511</v>
      </c>
      <c r="D4" s="70" t="s">
        <v>512</v>
      </c>
      <c r="E4" s="70" t="s">
        <v>513</v>
      </c>
      <c r="F4" s="70" t="s">
        <v>514</v>
      </c>
      <c r="G4" s="70" t="s">
        <v>515</v>
      </c>
      <c r="H4" s="70" t="s">
        <v>516</v>
      </c>
      <c r="I4" s="70" t="s">
        <v>517</v>
      </c>
      <c r="J4" s="70" t="s">
        <v>518</v>
      </c>
      <c r="K4" s="70" t="s">
        <v>519</v>
      </c>
      <c r="L4" s="70" t="s">
        <v>520</v>
      </c>
      <c r="M4" s="70" t="s">
        <v>521</v>
      </c>
      <c r="N4" s="70" t="s">
        <v>522</v>
      </c>
      <c r="O4" s="70" t="s">
        <v>523</v>
      </c>
      <c r="P4" s="70" t="s">
        <v>524</v>
      </c>
      <c r="Q4" s="70" t="s">
        <v>525</v>
      </c>
      <c r="R4" s="70" t="s">
        <v>526</v>
      </c>
      <c r="S4" s="70" t="s">
        <v>527</v>
      </c>
      <c r="T4" s="70" t="s">
        <v>528</v>
      </c>
      <c r="U4" s="70" t="s">
        <v>529</v>
      </c>
      <c r="V4" s="70" t="s">
        <v>530</v>
      </c>
      <c r="W4" s="70" t="s">
        <v>531</v>
      </c>
      <c r="X4" s="70" t="s">
        <v>532</v>
      </c>
      <c r="Y4" s="70" t="s">
        <v>533</v>
      </c>
      <c r="Z4" s="70" t="s">
        <v>534</v>
      </c>
      <c r="AA4" s="70" t="s">
        <v>535</v>
      </c>
      <c r="AB4" s="70" t="s">
        <v>536</v>
      </c>
      <c r="AC4" s="70" t="s">
        <v>537</v>
      </c>
      <c r="AD4" s="70" t="s">
        <v>538</v>
      </c>
      <c r="AE4" s="70" t="s">
        <v>539</v>
      </c>
      <c r="AF4" s="70" t="s">
        <v>540</v>
      </c>
      <c r="AG4" s="70" t="s">
        <v>541</v>
      </c>
      <c r="AH4" s="70" t="s">
        <v>542</v>
      </c>
      <c r="AI4" s="70" t="s">
        <v>543</v>
      </c>
      <c r="AJ4" s="70" t="s">
        <v>544</v>
      </c>
      <c r="AK4" s="70" t="s">
        <v>545</v>
      </c>
      <c r="AL4" s="70" t="s">
        <v>546</v>
      </c>
      <c r="AM4" s="70" t="s">
        <v>547</v>
      </c>
      <c r="AN4" s="70" t="s">
        <v>548</v>
      </c>
      <c r="AO4" s="70" t="s">
        <v>549</v>
      </c>
    </row>
    <row r="5" spans="1:41" ht="15" customHeight="1">
      <c r="A5" s="71" t="s">
        <v>550</v>
      </c>
      <c r="B5" s="71">
        <v>5</v>
      </c>
      <c r="C5" s="71">
        <v>5</v>
      </c>
      <c r="D5" s="71">
        <v>3</v>
      </c>
      <c r="E5" s="71">
        <v>3</v>
      </c>
      <c r="F5" s="71">
        <v>3</v>
      </c>
      <c r="G5" s="71">
        <v>2</v>
      </c>
      <c r="H5" s="71">
        <v>1</v>
      </c>
      <c r="I5" s="71">
        <v>1</v>
      </c>
      <c r="J5" s="71">
        <v>3</v>
      </c>
      <c r="K5" s="71">
        <v>2</v>
      </c>
      <c r="L5" s="71">
        <v>3</v>
      </c>
      <c r="M5" s="71">
        <v>5</v>
      </c>
      <c r="N5" s="71">
        <v>3</v>
      </c>
      <c r="O5" s="71">
        <v>4</v>
      </c>
      <c r="P5" s="71">
        <v>2</v>
      </c>
      <c r="Q5" s="71">
        <v>3</v>
      </c>
      <c r="R5" s="71">
        <v>3</v>
      </c>
      <c r="S5" s="71">
        <v>3</v>
      </c>
      <c r="T5" s="71">
        <v>3</v>
      </c>
      <c r="U5" s="71">
        <v>2</v>
      </c>
      <c r="V5" s="71">
        <v>2</v>
      </c>
      <c r="W5" s="71">
        <v>4</v>
      </c>
      <c r="X5" s="71">
        <v>4</v>
      </c>
      <c r="Y5" s="71">
        <v>4</v>
      </c>
      <c r="Z5" s="71">
        <v>3</v>
      </c>
      <c r="AA5" s="71">
        <v>4</v>
      </c>
      <c r="AB5" s="71">
        <v>3</v>
      </c>
      <c r="AC5" s="71">
        <v>4</v>
      </c>
      <c r="AD5" s="71">
        <v>4</v>
      </c>
      <c r="AE5" s="71">
        <v>4</v>
      </c>
      <c r="AF5" s="71">
        <v>4</v>
      </c>
      <c r="AG5" s="71">
        <v>3</v>
      </c>
      <c r="AH5" s="71">
        <v>4</v>
      </c>
      <c r="AI5" s="71">
        <v>4</v>
      </c>
      <c r="AJ5" s="71">
        <v>3</v>
      </c>
      <c r="AK5" s="71">
        <v>3</v>
      </c>
      <c r="AL5" s="72">
        <f t="shared" ref="AL5:AL23" si="0">AVERAGE(B5:J5)</f>
        <v>2.8888888888888888</v>
      </c>
      <c r="AM5" s="72">
        <f t="shared" ref="AM5:AM23" si="1">AVERAGE(K5:S5)</f>
        <v>3.1111111111111112</v>
      </c>
      <c r="AN5" s="72">
        <f t="shared" ref="AN5:AN23" si="2">AVERAGE(T5:AB5)</f>
        <v>3.2222222222222223</v>
      </c>
      <c r="AO5" s="72">
        <f t="shared" ref="AO5:AO23" si="3">AVERAGE(AC5:AK5)</f>
        <v>3.6666666666666665</v>
      </c>
    </row>
    <row r="6" spans="1:41" ht="15" customHeight="1">
      <c r="A6" s="71" t="s">
        <v>551</v>
      </c>
      <c r="B6" s="71">
        <v>3</v>
      </c>
      <c r="C6" s="71">
        <v>4</v>
      </c>
      <c r="D6" s="71">
        <v>2</v>
      </c>
      <c r="E6" s="71">
        <v>3</v>
      </c>
      <c r="F6" s="71">
        <v>2</v>
      </c>
      <c r="G6" s="71">
        <v>2</v>
      </c>
      <c r="H6" s="71">
        <v>1</v>
      </c>
      <c r="I6" s="71">
        <v>1</v>
      </c>
      <c r="J6" s="71">
        <v>1</v>
      </c>
      <c r="K6" s="71">
        <v>4</v>
      </c>
      <c r="L6" s="71">
        <v>3</v>
      </c>
      <c r="M6" s="71">
        <v>5</v>
      </c>
      <c r="N6" s="71">
        <v>3</v>
      </c>
      <c r="O6" s="71">
        <v>3</v>
      </c>
      <c r="P6" s="71">
        <v>4</v>
      </c>
      <c r="Q6" s="71">
        <v>2</v>
      </c>
      <c r="R6" s="71">
        <v>3</v>
      </c>
      <c r="S6" s="71">
        <v>2</v>
      </c>
      <c r="T6" s="71">
        <v>4</v>
      </c>
      <c r="U6" s="71">
        <v>2</v>
      </c>
      <c r="V6" s="71">
        <v>3</v>
      </c>
      <c r="W6" s="71">
        <v>4</v>
      </c>
      <c r="X6" s="71">
        <v>4</v>
      </c>
      <c r="Y6" s="71">
        <v>3</v>
      </c>
      <c r="Z6" s="71">
        <v>4</v>
      </c>
      <c r="AA6" s="71">
        <v>4</v>
      </c>
      <c r="AB6" s="71">
        <v>4</v>
      </c>
      <c r="AC6" s="71">
        <v>3</v>
      </c>
      <c r="AD6" s="71">
        <v>4</v>
      </c>
      <c r="AE6" s="71">
        <v>4</v>
      </c>
      <c r="AF6" s="71">
        <v>5</v>
      </c>
      <c r="AG6" s="71">
        <v>4</v>
      </c>
      <c r="AH6" s="71">
        <v>4</v>
      </c>
      <c r="AI6" s="71">
        <v>4</v>
      </c>
      <c r="AJ6" s="71">
        <v>5</v>
      </c>
      <c r="AK6" s="71">
        <v>4</v>
      </c>
      <c r="AL6" s="72">
        <f t="shared" si="0"/>
        <v>2.1111111111111112</v>
      </c>
      <c r="AM6" s="72">
        <f t="shared" si="1"/>
        <v>3.2222222222222223</v>
      </c>
      <c r="AN6" s="72">
        <f t="shared" si="2"/>
        <v>3.5555555555555554</v>
      </c>
      <c r="AO6" s="72">
        <f t="shared" si="3"/>
        <v>4.1111111111111107</v>
      </c>
    </row>
    <row r="7" spans="1:41" ht="15" customHeight="1">
      <c r="A7" s="71" t="s">
        <v>552</v>
      </c>
      <c r="B7" s="71">
        <v>4</v>
      </c>
      <c r="C7" s="71">
        <v>4</v>
      </c>
      <c r="D7" s="71">
        <v>2</v>
      </c>
      <c r="E7" s="71">
        <v>3</v>
      </c>
      <c r="F7" s="71">
        <v>3</v>
      </c>
      <c r="G7" s="71">
        <v>1</v>
      </c>
      <c r="H7" s="71">
        <v>1</v>
      </c>
      <c r="I7" s="71">
        <v>2</v>
      </c>
      <c r="J7" s="71">
        <v>1</v>
      </c>
      <c r="K7" s="71">
        <v>2</v>
      </c>
      <c r="L7" s="71">
        <v>3</v>
      </c>
      <c r="M7" s="71">
        <v>4</v>
      </c>
      <c r="N7" s="71">
        <v>3</v>
      </c>
      <c r="O7" s="71">
        <v>3</v>
      </c>
      <c r="P7" s="71">
        <v>2</v>
      </c>
      <c r="Q7" s="71">
        <v>2</v>
      </c>
      <c r="R7" s="71">
        <v>2</v>
      </c>
      <c r="S7" s="71">
        <v>3</v>
      </c>
      <c r="T7" s="71">
        <v>4</v>
      </c>
      <c r="U7" s="71">
        <v>4</v>
      </c>
      <c r="V7" s="71">
        <v>3</v>
      </c>
      <c r="W7" s="71">
        <v>4</v>
      </c>
      <c r="X7" s="71">
        <v>5</v>
      </c>
      <c r="Y7" s="71">
        <v>4</v>
      </c>
      <c r="Z7" s="71">
        <v>3</v>
      </c>
      <c r="AA7" s="71">
        <v>4</v>
      </c>
      <c r="AB7" s="71">
        <v>3</v>
      </c>
      <c r="AC7" s="71">
        <v>4</v>
      </c>
      <c r="AD7" s="71">
        <v>4</v>
      </c>
      <c r="AE7" s="71">
        <v>3</v>
      </c>
      <c r="AF7" s="71">
        <v>4</v>
      </c>
      <c r="AG7" s="71">
        <v>5</v>
      </c>
      <c r="AH7" s="71">
        <v>5</v>
      </c>
      <c r="AI7" s="71">
        <v>4</v>
      </c>
      <c r="AJ7" s="71">
        <v>5</v>
      </c>
      <c r="AK7" s="71">
        <v>4</v>
      </c>
      <c r="AL7" s="72">
        <f t="shared" si="0"/>
        <v>2.3333333333333335</v>
      </c>
      <c r="AM7" s="72">
        <f t="shared" si="1"/>
        <v>2.6666666666666665</v>
      </c>
      <c r="AN7" s="72">
        <f t="shared" si="2"/>
        <v>3.7777777777777777</v>
      </c>
      <c r="AO7" s="72">
        <f t="shared" si="3"/>
        <v>4.2222222222222223</v>
      </c>
    </row>
    <row r="8" spans="1:41" ht="15" customHeight="1">
      <c r="A8" s="71" t="s">
        <v>553</v>
      </c>
      <c r="B8" s="71">
        <v>4</v>
      </c>
      <c r="C8" s="71">
        <v>4</v>
      </c>
      <c r="D8" s="71">
        <v>2</v>
      </c>
      <c r="E8" s="71">
        <v>2</v>
      </c>
      <c r="F8" s="71">
        <v>2</v>
      </c>
      <c r="G8" s="71">
        <v>2</v>
      </c>
      <c r="H8" s="71">
        <v>2</v>
      </c>
      <c r="I8" s="71">
        <v>4</v>
      </c>
      <c r="J8" s="71">
        <v>1</v>
      </c>
      <c r="K8" s="71">
        <v>3</v>
      </c>
      <c r="L8" s="71">
        <v>2</v>
      </c>
      <c r="M8" s="71">
        <v>4</v>
      </c>
      <c r="N8" s="71">
        <v>3</v>
      </c>
      <c r="O8" s="71">
        <v>3</v>
      </c>
      <c r="P8" s="71">
        <v>2</v>
      </c>
      <c r="Q8" s="71">
        <v>4</v>
      </c>
      <c r="R8" s="71">
        <v>3</v>
      </c>
      <c r="S8" s="71">
        <v>3</v>
      </c>
      <c r="T8" s="71">
        <v>3</v>
      </c>
      <c r="U8" s="71">
        <v>4</v>
      </c>
      <c r="V8" s="71">
        <v>2</v>
      </c>
      <c r="W8" s="71">
        <v>5</v>
      </c>
      <c r="X8" s="71">
        <v>3</v>
      </c>
      <c r="Y8" s="71">
        <v>3</v>
      </c>
      <c r="Z8" s="71">
        <v>3</v>
      </c>
      <c r="AA8" s="71">
        <v>5</v>
      </c>
      <c r="AB8" s="71">
        <v>3</v>
      </c>
      <c r="AC8" s="71">
        <v>4</v>
      </c>
      <c r="AD8" s="71">
        <v>4</v>
      </c>
      <c r="AE8" s="71">
        <v>5</v>
      </c>
      <c r="AF8" s="71">
        <v>3</v>
      </c>
      <c r="AG8" s="71">
        <v>5</v>
      </c>
      <c r="AH8" s="71">
        <v>4</v>
      </c>
      <c r="AI8" s="71">
        <v>4</v>
      </c>
      <c r="AJ8" s="71">
        <v>3</v>
      </c>
      <c r="AK8" s="71">
        <v>4</v>
      </c>
      <c r="AL8" s="72">
        <f t="shared" si="0"/>
        <v>2.5555555555555554</v>
      </c>
      <c r="AM8" s="72">
        <f t="shared" si="1"/>
        <v>3</v>
      </c>
      <c r="AN8" s="72">
        <f t="shared" si="2"/>
        <v>3.4444444444444446</v>
      </c>
      <c r="AO8" s="72">
        <f t="shared" si="3"/>
        <v>4</v>
      </c>
    </row>
    <row r="9" spans="1:41" ht="15" customHeight="1">
      <c r="A9" s="71" t="s">
        <v>554</v>
      </c>
      <c r="B9" s="71">
        <v>4</v>
      </c>
      <c r="C9" s="71">
        <v>4</v>
      </c>
      <c r="D9" s="71">
        <v>4</v>
      </c>
      <c r="E9" s="71">
        <v>2</v>
      </c>
      <c r="F9" s="71">
        <v>2</v>
      </c>
      <c r="G9" s="71">
        <v>3</v>
      </c>
      <c r="H9" s="71">
        <v>2</v>
      </c>
      <c r="I9" s="71">
        <v>4</v>
      </c>
      <c r="J9" s="71">
        <v>1</v>
      </c>
      <c r="K9" s="71">
        <v>3</v>
      </c>
      <c r="L9" s="71">
        <v>3</v>
      </c>
      <c r="M9" s="71">
        <v>4</v>
      </c>
      <c r="N9" s="71">
        <v>4</v>
      </c>
      <c r="O9" s="71">
        <v>4</v>
      </c>
      <c r="P9" s="71">
        <v>4</v>
      </c>
      <c r="Q9" s="71">
        <v>3</v>
      </c>
      <c r="R9" s="71">
        <v>4</v>
      </c>
      <c r="S9" s="71">
        <v>2</v>
      </c>
      <c r="T9" s="71">
        <v>3</v>
      </c>
      <c r="U9" s="71">
        <v>2</v>
      </c>
      <c r="V9" s="71">
        <v>2</v>
      </c>
      <c r="W9" s="71">
        <v>4</v>
      </c>
      <c r="X9" s="71">
        <v>3</v>
      </c>
      <c r="Y9" s="71">
        <v>3</v>
      </c>
      <c r="Z9" s="71">
        <v>2</v>
      </c>
      <c r="AA9" s="71">
        <v>5</v>
      </c>
      <c r="AB9" s="71">
        <v>3</v>
      </c>
      <c r="AC9" s="71">
        <v>4</v>
      </c>
      <c r="AD9" s="71">
        <v>5</v>
      </c>
      <c r="AE9" s="71">
        <v>5</v>
      </c>
      <c r="AF9" s="71">
        <v>4</v>
      </c>
      <c r="AG9" s="71">
        <v>4</v>
      </c>
      <c r="AH9" s="71">
        <v>4</v>
      </c>
      <c r="AI9" s="71">
        <v>4</v>
      </c>
      <c r="AJ9" s="71">
        <v>5</v>
      </c>
      <c r="AK9" s="71">
        <v>5</v>
      </c>
      <c r="AL9" s="72">
        <f t="shared" si="0"/>
        <v>2.8888888888888888</v>
      </c>
      <c r="AM9" s="72">
        <f t="shared" si="1"/>
        <v>3.4444444444444446</v>
      </c>
      <c r="AN9" s="72">
        <f t="shared" si="2"/>
        <v>3</v>
      </c>
      <c r="AO9" s="72">
        <f t="shared" si="3"/>
        <v>4.4444444444444446</v>
      </c>
    </row>
    <row r="10" spans="1:41" ht="15" customHeight="1">
      <c r="A10" s="71" t="s">
        <v>555</v>
      </c>
      <c r="B10" s="71">
        <v>5</v>
      </c>
      <c r="C10" s="71">
        <v>4</v>
      </c>
      <c r="D10" s="71">
        <v>2</v>
      </c>
      <c r="E10" s="71">
        <v>1</v>
      </c>
      <c r="F10" s="71">
        <v>4</v>
      </c>
      <c r="G10" s="71">
        <v>2</v>
      </c>
      <c r="H10" s="71">
        <v>2</v>
      </c>
      <c r="I10" s="71">
        <v>4</v>
      </c>
      <c r="J10" s="71">
        <v>3</v>
      </c>
      <c r="K10" s="71">
        <v>3</v>
      </c>
      <c r="L10" s="71">
        <v>3</v>
      </c>
      <c r="M10" s="71">
        <v>5</v>
      </c>
      <c r="N10" s="71">
        <v>4</v>
      </c>
      <c r="O10" s="71">
        <v>4</v>
      </c>
      <c r="P10" s="71">
        <v>3</v>
      </c>
      <c r="Q10" s="71">
        <v>3</v>
      </c>
      <c r="R10" s="71">
        <v>2</v>
      </c>
      <c r="S10" s="71">
        <v>4</v>
      </c>
      <c r="T10" s="71">
        <v>3</v>
      </c>
      <c r="U10" s="71">
        <v>3</v>
      </c>
      <c r="V10" s="71">
        <v>4</v>
      </c>
      <c r="W10" s="71">
        <v>4</v>
      </c>
      <c r="X10" s="71">
        <v>5</v>
      </c>
      <c r="Y10" s="71">
        <v>2</v>
      </c>
      <c r="Z10" s="71">
        <v>3</v>
      </c>
      <c r="AA10" s="71">
        <v>4</v>
      </c>
      <c r="AB10" s="71">
        <v>2</v>
      </c>
      <c r="AC10" s="71">
        <v>5</v>
      </c>
      <c r="AD10" s="71">
        <v>4</v>
      </c>
      <c r="AE10" s="71">
        <v>4</v>
      </c>
      <c r="AF10" s="71">
        <v>3</v>
      </c>
      <c r="AG10" s="71">
        <v>4</v>
      </c>
      <c r="AH10" s="71">
        <v>4</v>
      </c>
      <c r="AI10" s="71">
        <v>4</v>
      </c>
      <c r="AJ10" s="71">
        <v>4</v>
      </c>
      <c r="AK10" s="71">
        <v>4</v>
      </c>
      <c r="AL10" s="72">
        <f t="shared" si="0"/>
        <v>3</v>
      </c>
      <c r="AM10" s="72">
        <f t="shared" si="1"/>
        <v>3.4444444444444446</v>
      </c>
      <c r="AN10" s="72">
        <f t="shared" si="2"/>
        <v>3.3333333333333335</v>
      </c>
      <c r="AO10" s="72">
        <f t="shared" si="3"/>
        <v>4</v>
      </c>
    </row>
    <row r="11" spans="1:41" ht="15" customHeight="1">
      <c r="A11" s="71" t="s">
        <v>556</v>
      </c>
      <c r="B11" s="71">
        <v>4</v>
      </c>
      <c r="C11" s="71">
        <v>4</v>
      </c>
      <c r="D11" s="71">
        <v>3</v>
      </c>
      <c r="E11" s="71">
        <v>4</v>
      </c>
      <c r="F11" s="71">
        <v>3</v>
      </c>
      <c r="G11" s="71">
        <v>2</v>
      </c>
      <c r="H11" s="71">
        <v>2</v>
      </c>
      <c r="I11" s="71">
        <v>3</v>
      </c>
      <c r="J11" s="71">
        <v>2</v>
      </c>
      <c r="K11" s="71">
        <v>3</v>
      </c>
      <c r="L11" s="71">
        <v>3</v>
      </c>
      <c r="M11" s="71">
        <v>5</v>
      </c>
      <c r="N11" s="71">
        <v>4</v>
      </c>
      <c r="O11" s="71">
        <v>2</v>
      </c>
      <c r="P11" s="71">
        <v>3</v>
      </c>
      <c r="Q11" s="71">
        <v>3</v>
      </c>
      <c r="R11" s="71">
        <v>3</v>
      </c>
      <c r="S11" s="71">
        <v>3</v>
      </c>
      <c r="T11" s="71">
        <v>3</v>
      </c>
      <c r="U11" s="71">
        <v>3</v>
      </c>
      <c r="V11" s="71">
        <v>2</v>
      </c>
      <c r="W11" s="71">
        <v>5</v>
      </c>
      <c r="X11" s="71">
        <v>4</v>
      </c>
      <c r="Y11" s="71">
        <v>3</v>
      </c>
      <c r="Z11" s="71">
        <v>4</v>
      </c>
      <c r="AA11" s="71">
        <v>4</v>
      </c>
      <c r="AB11" s="71">
        <v>3</v>
      </c>
      <c r="AC11" s="71">
        <v>3</v>
      </c>
      <c r="AD11" s="71">
        <v>4</v>
      </c>
      <c r="AE11" s="71">
        <v>4</v>
      </c>
      <c r="AF11" s="71">
        <v>4</v>
      </c>
      <c r="AG11" s="71">
        <v>3</v>
      </c>
      <c r="AH11" s="71">
        <v>3</v>
      </c>
      <c r="AI11" s="71">
        <v>4</v>
      </c>
      <c r="AJ11" s="71">
        <v>5</v>
      </c>
      <c r="AK11" s="71">
        <v>5</v>
      </c>
      <c r="AL11" s="72">
        <f t="shared" si="0"/>
        <v>3</v>
      </c>
      <c r="AM11" s="72">
        <f t="shared" si="1"/>
        <v>3.2222222222222223</v>
      </c>
      <c r="AN11" s="72">
        <f t="shared" si="2"/>
        <v>3.4444444444444446</v>
      </c>
      <c r="AO11" s="72">
        <f t="shared" si="3"/>
        <v>3.8888888888888888</v>
      </c>
    </row>
    <row r="12" spans="1:41" ht="15" customHeight="1">
      <c r="A12" s="71" t="s">
        <v>557</v>
      </c>
      <c r="B12" s="71">
        <v>4</v>
      </c>
      <c r="C12" s="71">
        <v>3</v>
      </c>
      <c r="D12" s="71">
        <v>3</v>
      </c>
      <c r="E12" s="71">
        <v>2</v>
      </c>
      <c r="F12" s="71">
        <v>3</v>
      </c>
      <c r="G12" s="71">
        <v>1</v>
      </c>
      <c r="H12" s="71">
        <v>2</v>
      </c>
      <c r="I12" s="71">
        <v>3</v>
      </c>
      <c r="J12" s="71">
        <v>1</v>
      </c>
      <c r="K12" s="71">
        <v>2</v>
      </c>
      <c r="L12" s="71">
        <v>3</v>
      </c>
      <c r="M12" s="71">
        <v>5</v>
      </c>
      <c r="N12" s="71">
        <v>2</v>
      </c>
      <c r="O12" s="71">
        <v>3</v>
      </c>
      <c r="P12" s="71">
        <v>4</v>
      </c>
      <c r="Q12" s="71">
        <v>2</v>
      </c>
      <c r="R12" s="71">
        <v>3</v>
      </c>
      <c r="S12" s="71">
        <v>3</v>
      </c>
      <c r="T12" s="71">
        <v>4</v>
      </c>
      <c r="U12" s="71">
        <v>2</v>
      </c>
      <c r="V12" s="71">
        <v>2</v>
      </c>
      <c r="W12" s="71">
        <v>4</v>
      </c>
      <c r="X12" s="71">
        <v>3</v>
      </c>
      <c r="Y12" s="71">
        <v>4</v>
      </c>
      <c r="Z12" s="71">
        <v>3</v>
      </c>
      <c r="AA12" s="71">
        <v>4</v>
      </c>
      <c r="AB12" s="71">
        <v>3</v>
      </c>
      <c r="AC12" s="71">
        <v>3</v>
      </c>
      <c r="AD12" s="71">
        <v>3</v>
      </c>
      <c r="AE12" s="71">
        <v>4</v>
      </c>
      <c r="AF12" s="71">
        <v>5</v>
      </c>
      <c r="AG12" s="71">
        <v>4</v>
      </c>
      <c r="AH12" s="71">
        <v>4</v>
      </c>
      <c r="AI12" s="71">
        <v>4</v>
      </c>
      <c r="AJ12" s="71">
        <v>4</v>
      </c>
      <c r="AK12" s="71">
        <v>3</v>
      </c>
      <c r="AL12" s="72">
        <f t="shared" si="0"/>
        <v>2.4444444444444446</v>
      </c>
      <c r="AM12" s="72">
        <f t="shared" si="1"/>
        <v>3</v>
      </c>
      <c r="AN12" s="72">
        <f t="shared" si="2"/>
        <v>3.2222222222222223</v>
      </c>
      <c r="AO12" s="72">
        <f t="shared" si="3"/>
        <v>3.7777777777777777</v>
      </c>
    </row>
    <row r="13" spans="1:41" ht="15" customHeight="1">
      <c r="A13" s="71" t="s">
        <v>558</v>
      </c>
      <c r="B13" s="71">
        <v>4</v>
      </c>
      <c r="C13" s="71">
        <v>4</v>
      </c>
      <c r="D13" s="71">
        <v>2</v>
      </c>
      <c r="E13" s="71">
        <v>3</v>
      </c>
      <c r="F13" s="71">
        <v>3</v>
      </c>
      <c r="G13" s="71">
        <v>1</v>
      </c>
      <c r="H13" s="71">
        <v>2</v>
      </c>
      <c r="I13" s="71">
        <v>4</v>
      </c>
      <c r="J13" s="71">
        <v>2</v>
      </c>
      <c r="K13" s="71">
        <v>3</v>
      </c>
      <c r="L13" s="71">
        <v>2</v>
      </c>
      <c r="M13" s="71">
        <v>4</v>
      </c>
      <c r="N13" s="71">
        <v>2</v>
      </c>
      <c r="O13" s="71">
        <v>3</v>
      </c>
      <c r="P13" s="71">
        <v>2</v>
      </c>
      <c r="Q13" s="71">
        <v>2</v>
      </c>
      <c r="R13" s="71">
        <v>3</v>
      </c>
      <c r="S13" s="71">
        <v>3</v>
      </c>
      <c r="T13" s="71">
        <v>3</v>
      </c>
      <c r="U13" s="71">
        <v>3</v>
      </c>
      <c r="V13" s="71">
        <v>4</v>
      </c>
      <c r="W13" s="71">
        <v>4</v>
      </c>
      <c r="X13" s="71">
        <v>4</v>
      </c>
      <c r="Y13" s="71">
        <v>3</v>
      </c>
      <c r="Z13" s="71">
        <v>3</v>
      </c>
      <c r="AA13" s="71">
        <v>3</v>
      </c>
      <c r="AB13" s="71">
        <v>3</v>
      </c>
      <c r="AC13" s="71">
        <v>3</v>
      </c>
      <c r="AD13" s="71">
        <v>4</v>
      </c>
      <c r="AE13" s="71">
        <v>3</v>
      </c>
      <c r="AF13" s="71">
        <v>4</v>
      </c>
      <c r="AG13" s="71">
        <v>5</v>
      </c>
      <c r="AH13" s="71">
        <v>4</v>
      </c>
      <c r="AI13" s="71">
        <v>5</v>
      </c>
      <c r="AJ13" s="71">
        <v>3</v>
      </c>
      <c r="AK13" s="71">
        <v>4</v>
      </c>
      <c r="AL13" s="72">
        <f t="shared" si="0"/>
        <v>2.7777777777777777</v>
      </c>
      <c r="AM13" s="72">
        <f t="shared" si="1"/>
        <v>2.6666666666666665</v>
      </c>
      <c r="AN13" s="72">
        <f t="shared" si="2"/>
        <v>3.3333333333333335</v>
      </c>
      <c r="AO13" s="72">
        <f t="shared" si="3"/>
        <v>3.8888888888888888</v>
      </c>
    </row>
    <row r="14" spans="1:41" ht="15" customHeight="1">
      <c r="A14" s="71" t="s">
        <v>559</v>
      </c>
      <c r="B14" s="71">
        <v>4</v>
      </c>
      <c r="C14" s="71">
        <v>5</v>
      </c>
      <c r="D14" s="71">
        <v>3</v>
      </c>
      <c r="E14" s="71">
        <v>1</v>
      </c>
      <c r="F14" s="71">
        <v>2</v>
      </c>
      <c r="G14" s="71">
        <v>3</v>
      </c>
      <c r="H14" s="71">
        <v>2</v>
      </c>
      <c r="I14" s="71">
        <v>3</v>
      </c>
      <c r="J14" s="71">
        <v>2</v>
      </c>
      <c r="K14" s="71">
        <v>3</v>
      </c>
      <c r="L14" s="71">
        <v>3</v>
      </c>
      <c r="M14" s="71">
        <v>4</v>
      </c>
      <c r="N14" s="71">
        <v>3</v>
      </c>
      <c r="O14" s="71">
        <v>2</v>
      </c>
      <c r="P14" s="71">
        <v>4</v>
      </c>
      <c r="Q14" s="71">
        <v>2</v>
      </c>
      <c r="R14" s="71">
        <v>4</v>
      </c>
      <c r="S14" s="71">
        <v>3</v>
      </c>
      <c r="T14" s="71">
        <v>2</v>
      </c>
      <c r="U14" s="71">
        <v>1</v>
      </c>
      <c r="V14" s="71">
        <v>2</v>
      </c>
      <c r="W14" s="71">
        <v>5</v>
      </c>
      <c r="X14" s="71">
        <v>3</v>
      </c>
      <c r="Y14" s="71">
        <v>3</v>
      </c>
      <c r="Z14" s="71">
        <v>3</v>
      </c>
      <c r="AA14" s="71">
        <v>4</v>
      </c>
      <c r="AB14" s="71">
        <v>3</v>
      </c>
      <c r="AC14" s="71">
        <v>3</v>
      </c>
      <c r="AD14" s="71">
        <v>3</v>
      </c>
      <c r="AE14" s="71">
        <v>4</v>
      </c>
      <c r="AF14" s="71">
        <v>4</v>
      </c>
      <c r="AG14" s="71">
        <v>3</v>
      </c>
      <c r="AH14" s="71">
        <v>4</v>
      </c>
      <c r="AI14" s="71">
        <v>5</v>
      </c>
      <c r="AJ14" s="71">
        <v>4</v>
      </c>
      <c r="AK14" s="71">
        <v>3</v>
      </c>
      <c r="AL14" s="72">
        <f t="shared" si="0"/>
        <v>2.7777777777777777</v>
      </c>
      <c r="AM14" s="72">
        <f t="shared" si="1"/>
        <v>3.1111111111111112</v>
      </c>
      <c r="AN14" s="72">
        <f t="shared" si="2"/>
        <v>2.8888888888888888</v>
      </c>
      <c r="AO14" s="72">
        <f t="shared" si="3"/>
        <v>3.6666666666666665</v>
      </c>
    </row>
    <row r="15" spans="1:41" ht="15" customHeight="1">
      <c r="A15" s="71" t="s">
        <v>560</v>
      </c>
      <c r="B15" s="71">
        <v>4</v>
      </c>
      <c r="C15" s="71">
        <v>4</v>
      </c>
      <c r="D15" s="71">
        <v>2</v>
      </c>
      <c r="E15" s="71">
        <v>2</v>
      </c>
      <c r="F15" s="71">
        <v>2</v>
      </c>
      <c r="G15" s="71">
        <v>3</v>
      </c>
      <c r="H15" s="71">
        <v>1</v>
      </c>
      <c r="I15" s="71">
        <v>3</v>
      </c>
      <c r="J15" s="71">
        <v>2</v>
      </c>
      <c r="K15" s="71">
        <v>2</v>
      </c>
      <c r="L15" s="71">
        <v>3</v>
      </c>
      <c r="M15" s="71">
        <v>4</v>
      </c>
      <c r="N15" s="71">
        <v>3</v>
      </c>
      <c r="O15" s="71">
        <v>4</v>
      </c>
      <c r="P15" s="71">
        <v>2</v>
      </c>
      <c r="Q15" s="71">
        <v>3</v>
      </c>
      <c r="R15" s="71">
        <v>3</v>
      </c>
      <c r="S15" s="71">
        <v>3</v>
      </c>
      <c r="T15" s="71">
        <v>4</v>
      </c>
      <c r="U15" s="71">
        <v>2</v>
      </c>
      <c r="V15" s="71">
        <v>3</v>
      </c>
      <c r="W15" s="71">
        <v>4</v>
      </c>
      <c r="X15" s="71">
        <v>4</v>
      </c>
      <c r="Y15" s="71">
        <v>4</v>
      </c>
      <c r="Z15" s="71">
        <v>2</v>
      </c>
      <c r="AA15" s="71">
        <v>4</v>
      </c>
      <c r="AB15" s="71">
        <v>2</v>
      </c>
      <c r="AC15" s="71">
        <v>4</v>
      </c>
      <c r="AD15" s="71">
        <v>4</v>
      </c>
      <c r="AE15" s="71">
        <v>4</v>
      </c>
      <c r="AF15" s="71">
        <v>5</v>
      </c>
      <c r="AG15" s="71">
        <v>5</v>
      </c>
      <c r="AH15" s="71">
        <v>4</v>
      </c>
      <c r="AI15" s="71">
        <v>4</v>
      </c>
      <c r="AJ15" s="71">
        <v>4</v>
      </c>
      <c r="AK15" s="71">
        <v>5</v>
      </c>
      <c r="AL15" s="72">
        <f t="shared" si="0"/>
        <v>2.5555555555555554</v>
      </c>
      <c r="AM15" s="72">
        <f t="shared" si="1"/>
        <v>3</v>
      </c>
      <c r="AN15" s="72">
        <f t="shared" si="2"/>
        <v>3.2222222222222223</v>
      </c>
      <c r="AO15" s="72">
        <f t="shared" si="3"/>
        <v>4.333333333333333</v>
      </c>
    </row>
    <row r="16" spans="1:41" ht="15" customHeight="1">
      <c r="A16" s="71" t="s">
        <v>561</v>
      </c>
      <c r="B16" s="71">
        <v>3</v>
      </c>
      <c r="C16" s="71">
        <v>4</v>
      </c>
      <c r="D16" s="71">
        <v>2</v>
      </c>
      <c r="E16" s="71">
        <v>3</v>
      </c>
      <c r="F16" s="71">
        <v>3</v>
      </c>
      <c r="G16" s="71">
        <v>2</v>
      </c>
      <c r="H16" s="71">
        <v>2</v>
      </c>
      <c r="I16" s="71">
        <v>3</v>
      </c>
      <c r="J16" s="71">
        <v>3</v>
      </c>
      <c r="K16" s="71">
        <v>3</v>
      </c>
      <c r="L16" s="71">
        <v>3</v>
      </c>
      <c r="M16" s="71">
        <v>3</v>
      </c>
      <c r="N16" s="71">
        <v>2</v>
      </c>
      <c r="O16" s="71">
        <v>3</v>
      </c>
      <c r="P16" s="71">
        <v>2</v>
      </c>
      <c r="Q16" s="71">
        <v>2</v>
      </c>
      <c r="R16" s="71">
        <v>4</v>
      </c>
      <c r="S16" s="71">
        <v>3</v>
      </c>
      <c r="T16" s="71">
        <v>2</v>
      </c>
      <c r="U16" s="71">
        <v>2</v>
      </c>
      <c r="V16" s="71">
        <v>3</v>
      </c>
      <c r="W16" s="71">
        <v>5</v>
      </c>
      <c r="X16" s="71">
        <v>5</v>
      </c>
      <c r="Y16" s="71">
        <v>3</v>
      </c>
      <c r="Z16" s="71">
        <v>2</v>
      </c>
      <c r="AA16" s="71">
        <v>4</v>
      </c>
      <c r="AB16" s="71">
        <v>3</v>
      </c>
      <c r="AC16" s="71">
        <v>3</v>
      </c>
      <c r="AD16" s="71">
        <v>3</v>
      </c>
      <c r="AE16" s="71">
        <v>5</v>
      </c>
      <c r="AF16" s="71">
        <v>4</v>
      </c>
      <c r="AG16" s="71">
        <v>5</v>
      </c>
      <c r="AH16" s="71">
        <v>4</v>
      </c>
      <c r="AI16" s="71">
        <v>4</v>
      </c>
      <c r="AJ16" s="71">
        <v>4</v>
      </c>
      <c r="AK16" s="71">
        <v>4</v>
      </c>
      <c r="AL16" s="72">
        <f t="shared" si="0"/>
        <v>2.7777777777777777</v>
      </c>
      <c r="AM16" s="72">
        <f t="shared" si="1"/>
        <v>2.7777777777777777</v>
      </c>
      <c r="AN16" s="72">
        <f t="shared" si="2"/>
        <v>3.2222222222222223</v>
      </c>
      <c r="AO16" s="72">
        <f t="shared" si="3"/>
        <v>4</v>
      </c>
    </row>
    <row r="17" spans="1:41" ht="15" customHeight="1">
      <c r="A17" s="71" t="s">
        <v>562</v>
      </c>
      <c r="B17" s="71">
        <v>3</v>
      </c>
      <c r="C17" s="71">
        <v>4</v>
      </c>
      <c r="D17" s="71">
        <v>3</v>
      </c>
      <c r="E17" s="71">
        <v>2</v>
      </c>
      <c r="F17" s="71">
        <v>2</v>
      </c>
      <c r="G17" s="71">
        <v>2</v>
      </c>
      <c r="H17" s="71">
        <v>2</v>
      </c>
      <c r="I17" s="71">
        <v>1</v>
      </c>
      <c r="J17" s="71">
        <v>2</v>
      </c>
      <c r="K17" s="71">
        <v>4</v>
      </c>
      <c r="L17" s="71">
        <v>4</v>
      </c>
      <c r="M17" s="71">
        <v>4</v>
      </c>
      <c r="N17" s="71">
        <v>3</v>
      </c>
      <c r="O17" s="71">
        <v>4</v>
      </c>
      <c r="P17" s="71">
        <v>2</v>
      </c>
      <c r="Q17" s="71">
        <v>2</v>
      </c>
      <c r="R17" s="71">
        <v>3</v>
      </c>
      <c r="S17" s="71">
        <v>2</v>
      </c>
      <c r="T17" s="71">
        <v>3</v>
      </c>
      <c r="U17" s="71">
        <v>3</v>
      </c>
      <c r="V17" s="71">
        <v>4</v>
      </c>
      <c r="W17" s="71">
        <v>5</v>
      </c>
      <c r="X17" s="71">
        <v>5</v>
      </c>
      <c r="Y17" s="71">
        <v>3</v>
      </c>
      <c r="Z17" s="71">
        <v>3</v>
      </c>
      <c r="AA17" s="71">
        <v>4</v>
      </c>
      <c r="AB17" s="71">
        <v>3</v>
      </c>
      <c r="AC17" s="71">
        <v>4</v>
      </c>
      <c r="AD17" s="71">
        <v>4</v>
      </c>
      <c r="AE17" s="71">
        <v>4</v>
      </c>
      <c r="AF17" s="71">
        <v>4</v>
      </c>
      <c r="AG17" s="71">
        <v>4</v>
      </c>
      <c r="AH17" s="71">
        <v>4</v>
      </c>
      <c r="AI17" s="71">
        <v>4</v>
      </c>
      <c r="AJ17" s="71">
        <v>5</v>
      </c>
      <c r="AK17" s="71">
        <v>5</v>
      </c>
      <c r="AL17" s="72">
        <f t="shared" si="0"/>
        <v>2.3333333333333335</v>
      </c>
      <c r="AM17" s="72">
        <f t="shared" si="1"/>
        <v>3.1111111111111112</v>
      </c>
      <c r="AN17" s="72">
        <f t="shared" si="2"/>
        <v>3.6666666666666665</v>
      </c>
      <c r="AO17" s="72">
        <f t="shared" si="3"/>
        <v>4.2222222222222223</v>
      </c>
    </row>
    <row r="18" spans="1:41" ht="15" customHeight="1">
      <c r="A18" s="71" t="s">
        <v>563</v>
      </c>
      <c r="B18" s="71">
        <v>4</v>
      </c>
      <c r="C18" s="71">
        <v>4</v>
      </c>
      <c r="D18" s="71">
        <v>4</v>
      </c>
      <c r="E18" s="71">
        <v>2</v>
      </c>
      <c r="F18" s="71">
        <v>3</v>
      </c>
      <c r="G18" s="71">
        <v>1</v>
      </c>
      <c r="H18" s="71">
        <v>3</v>
      </c>
      <c r="I18" s="71">
        <v>3</v>
      </c>
      <c r="J18" s="71">
        <v>3</v>
      </c>
      <c r="K18" s="71">
        <v>3</v>
      </c>
      <c r="L18" s="71">
        <v>4</v>
      </c>
      <c r="M18" s="71">
        <v>4</v>
      </c>
      <c r="N18" s="71">
        <v>2</v>
      </c>
      <c r="O18" s="71">
        <v>4</v>
      </c>
      <c r="P18" s="71">
        <v>2</v>
      </c>
      <c r="Q18" s="71">
        <v>2</v>
      </c>
      <c r="R18" s="71">
        <v>2</v>
      </c>
      <c r="S18" s="71">
        <v>3</v>
      </c>
      <c r="T18" s="71">
        <v>3</v>
      </c>
      <c r="U18" s="71">
        <v>2</v>
      </c>
      <c r="V18" s="71">
        <v>4</v>
      </c>
      <c r="W18" s="71">
        <v>4</v>
      </c>
      <c r="X18" s="71">
        <v>4</v>
      </c>
      <c r="Y18" s="71">
        <v>3</v>
      </c>
      <c r="Z18" s="71">
        <v>3</v>
      </c>
      <c r="AA18" s="71">
        <v>5</v>
      </c>
      <c r="AB18" s="71">
        <v>2</v>
      </c>
      <c r="AC18" s="71">
        <v>4</v>
      </c>
      <c r="AD18" s="71">
        <v>4</v>
      </c>
      <c r="AE18" s="71">
        <v>4</v>
      </c>
      <c r="AF18" s="71">
        <v>4</v>
      </c>
      <c r="AG18" s="71">
        <v>4</v>
      </c>
      <c r="AH18" s="71">
        <v>4</v>
      </c>
      <c r="AI18" s="71">
        <v>3</v>
      </c>
      <c r="AJ18" s="71">
        <v>4</v>
      </c>
      <c r="AK18" s="71">
        <v>4</v>
      </c>
      <c r="AL18" s="72">
        <f t="shared" si="0"/>
        <v>3</v>
      </c>
      <c r="AM18" s="72">
        <f t="shared" si="1"/>
        <v>2.8888888888888888</v>
      </c>
      <c r="AN18" s="72">
        <f t="shared" si="2"/>
        <v>3.3333333333333335</v>
      </c>
      <c r="AO18" s="72">
        <f t="shared" si="3"/>
        <v>3.8888888888888888</v>
      </c>
    </row>
    <row r="19" spans="1:41" ht="15" customHeight="1">
      <c r="A19" s="71" t="s">
        <v>564</v>
      </c>
      <c r="B19" s="71">
        <v>4</v>
      </c>
      <c r="C19" s="71">
        <v>5</v>
      </c>
      <c r="D19" s="71">
        <v>4</v>
      </c>
      <c r="E19" s="71">
        <v>4</v>
      </c>
      <c r="F19" s="71">
        <v>2</v>
      </c>
      <c r="G19" s="71">
        <v>2</v>
      </c>
      <c r="H19" s="71">
        <v>2</v>
      </c>
      <c r="I19" s="71">
        <v>3</v>
      </c>
      <c r="J19" s="71">
        <v>1</v>
      </c>
      <c r="K19" s="71">
        <v>4</v>
      </c>
      <c r="L19" s="71">
        <v>4</v>
      </c>
      <c r="M19" s="71">
        <v>4</v>
      </c>
      <c r="N19" s="71">
        <v>3</v>
      </c>
      <c r="O19" s="71">
        <v>2</v>
      </c>
      <c r="P19" s="71">
        <v>2</v>
      </c>
      <c r="Q19" s="71">
        <v>4</v>
      </c>
      <c r="R19" s="71">
        <v>4</v>
      </c>
      <c r="S19" s="71">
        <v>3</v>
      </c>
      <c r="T19" s="71">
        <v>4</v>
      </c>
      <c r="U19" s="71">
        <v>4</v>
      </c>
      <c r="V19" s="71">
        <v>4</v>
      </c>
      <c r="W19" s="71">
        <v>4</v>
      </c>
      <c r="X19" s="71">
        <v>4</v>
      </c>
      <c r="Y19" s="71">
        <v>3</v>
      </c>
      <c r="Z19" s="71">
        <v>2</v>
      </c>
      <c r="AA19" s="71">
        <v>4</v>
      </c>
      <c r="AB19" s="71">
        <v>3</v>
      </c>
      <c r="AC19" s="71">
        <v>4</v>
      </c>
      <c r="AD19" s="71">
        <v>4</v>
      </c>
      <c r="AE19" s="71">
        <v>4</v>
      </c>
      <c r="AF19" s="71">
        <v>4</v>
      </c>
      <c r="AG19" s="71">
        <v>4</v>
      </c>
      <c r="AH19" s="71">
        <v>3</v>
      </c>
      <c r="AI19" s="71">
        <v>5</v>
      </c>
      <c r="AJ19" s="71">
        <v>3</v>
      </c>
      <c r="AK19" s="71">
        <v>5</v>
      </c>
      <c r="AL19" s="72">
        <f t="shared" si="0"/>
        <v>3</v>
      </c>
      <c r="AM19" s="72">
        <f t="shared" si="1"/>
        <v>3.3333333333333335</v>
      </c>
      <c r="AN19" s="72">
        <f t="shared" si="2"/>
        <v>3.5555555555555554</v>
      </c>
      <c r="AO19" s="72">
        <f t="shared" si="3"/>
        <v>4</v>
      </c>
    </row>
    <row r="20" spans="1:41" ht="15" customHeight="1">
      <c r="A20" s="71" t="s">
        <v>565</v>
      </c>
      <c r="B20" s="71">
        <v>4</v>
      </c>
      <c r="C20" s="71">
        <v>4</v>
      </c>
      <c r="D20" s="71">
        <v>3</v>
      </c>
      <c r="E20" s="71">
        <v>3</v>
      </c>
      <c r="F20" s="71">
        <v>3</v>
      </c>
      <c r="G20" s="71">
        <v>2</v>
      </c>
      <c r="H20" s="71">
        <v>2</v>
      </c>
      <c r="I20" s="71">
        <v>2</v>
      </c>
      <c r="J20" s="71">
        <v>2</v>
      </c>
      <c r="K20" s="71">
        <v>3</v>
      </c>
      <c r="L20" s="71">
        <v>4</v>
      </c>
      <c r="M20" s="71">
        <v>5</v>
      </c>
      <c r="N20" s="71">
        <v>3</v>
      </c>
      <c r="O20" s="71">
        <v>3</v>
      </c>
      <c r="P20" s="71">
        <v>2</v>
      </c>
      <c r="Q20" s="71">
        <v>3</v>
      </c>
      <c r="R20" s="71">
        <v>3</v>
      </c>
      <c r="S20" s="71">
        <v>2</v>
      </c>
      <c r="T20" s="71">
        <v>3</v>
      </c>
      <c r="U20" s="71">
        <v>2</v>
      </c>
      <c r="V20" s="71">
        <v>3</v>
      </c>
      <c r="W20" s="71">
        <v>4</v>
      </c>
      <c r="X20" s="71">
        <v>3</v>
      </c>
      <c r="Y20" s="71">
        <v>2</v>
      </c>
      <c r="Z20" s="71">
        <v>3</v>
      </c>
      <c r="AA20" s="71">
        <v>4</v>
      </c>
      <c r="AB20" s="71">
        <v>3</v>
      </c>
      <c r="AC20" s="71">
        <v>4</v>
      </c>
      <c r="AD20" s="71">
        <v>5</v>
      </c>
      <c r="AE20" s="71">
        <v>5</v>
      </c>
      <c r="AF20" s="71">
        <v>4</v>
      </c>
      <c r="AG20" s="71">
        <v>4</v>
      </c>
      <c r="AH20" s="71">
        <v>5</v>
      </c>
      <c r="AI20" s="71">
        <v>4</v>
      </c>
      <c r="AJ20" s="71">
        <v>4</v>
      </c>
      <c r="AK20" s="71">
        <v>3</v>
      </c>
      <c r="AL20" s="72">
        <f t="shared" si="0"/>
        <v>2.7777777777777777</v>
      </c>
      <c r="AM20" s="72">
        <f t="shared" si="1"/>
        <v>3.1111111111111112</v>
      </c>
      <c r="AN20" s="72">
        <f t="shared" si="2"/>
        <v>3</v>
      </c>
      <c r="AO20" s="72">
        <f t="shared" si="3"/>
        <v>4.2222222222222223</v>
      </c>
    </row>
    <row r="21" spans="1:41" ht="15" customHeight="1">
      <c r="A21" s="71" t="s">
        <v>566</v>
      </c>
      <c r="B21" s="71">
        <v>4</v>
      </c>
      <c r="C21" s="71">
        <v>5</v>
      </c>
      <c r="D21" s="71">
        <v>3</v>
      </c>
      <c r="E21" s="71">
        <v>2</v>
      </c>
      <c r="F21" s="71">
        <v>3</v>
      </c>
      <c r="G21" s="71">
        <v>2</v>
      </c>
      <c r="H21" s="71">
        <v>1</v>
      </c>
      <c r="I21" s="71">
        <v>1</v>
      </c>
      <c r="J21" s="71">
        <v>2</v>
      </c>
      <c r="K21" s="71">
        <v>2</v>
      </c>
      <c r="L21" s="71">
        <v>3</v>
      </c>
      <c r="M21" s="71">
        <v>5</v>
      </c>
      <c r="N21" s="71">
        <v>2</v>
      </c>
      <c r="O21" s="71">
        <v>3</v>
      </c>
      <c r="P21" s="71">
        <v>3</v>
      </c>
      <c r="Q21" s="71">
        <v>2</v>
      </c>
      <c r="R21" s="71">
        <v>4</v>
      </c>
      <c r="S21" s="71">
        <v>2</v>
      </c>
      <c r="T21" s="71">
        <v>3</v>
      </c>
      <c r="U21" s="71">
        <v>2</v>
      </c>
      <c r="V21" s="71">
        <v>2</v>
      </c>
      <c r="W21" s="71">
        <v>5</v>
      </c>
      <c r="X21" s="71">
        <v>3</v>
      </c>
      <c r="Y21" s="71">
        <v>3</v>
      </c>
      <c r="Z21" s="71">
        <v>4</v>
      </c>
      <c r="AA21" s="71">
        <v>4</v>
      </c>
      <c r="AB21" s="71">
        <v>3</v>
      </c>
      <c r="AC21" s="71">
        <v>4</v>
      </c>
      <c r="AD21" s="71">
        <v>4</v>
      </c>
      <c r="AE21" s="71">
        <v>4</v>
      </c>
      <c r="AF21" s="71">
        <v>5</v>
      </c>
      <c r="AG21" s="71">
        <v>4</v>
      </c>
      <c r="AH21" s="71">
        <v>3</v>
      </c>
      <c r="AI21" s="71">
        <v>3</v>
      </c>
      <c r="AJ21" s="71">
        <v>4</v>
      </c>
      <c r="AK21" s="71">
        <v>5</v>
      </c>
      <c r="AL21" s="72">
        <f t="shared" si="0"/>
        <v>2.5555555555555554</v>
      </c>
      <c r="AM21" s="72">
        <f t="shared" si="1"/>
        <v>2.8888888888888888</v>
      </c>
      <c r="AN21" s="72">
        <f t="shared" si="2"/>
        <v>3.2222222222222223</v>
      </c>
      <c r="AO21" s="72">
        <f t="shared" si="3"/>
        <v>4</v>
      </c>
    </row>
    <row r="22" spans="1:41" ht="15" customHeight="1">
      <c r="A22" s="71" t="s">
        <v>567</v>
      </c>
      <c r="B22" s="71">
        <v>3</v>
      </c>
      <c r="C22" s="71">
        <v>4</v>
      </c>
      <c r="D22" s="71">
        <v>3</v>
      </c>
      <c r="E22" s="71">
        <v>2</v>
      </c>
      <c r="F22" s="71">
        <v>3</v>
      </c>
      <c r="G22" s="71">
        <v>2</v>
      </c>
      <c r="H22" s="71">
        <v>3</v>
      </c>
      <c r="I22" s="71">
        <v>2</v>
      </c>
      <c r="J22" s="71">
        <v>2</v>
      </c>
      <c r="K22" s="71">
        <v>4</v>
      </c>
      <c r="L22" s="71">
        <v>3</v>
      </c>
      <c r="M22" s="71">
        <v>5</v>
      </c>
      <c r="N22" s="71">
        <v>2</v>
      </c>
      <c r="O22" s="71">
        <v>4</v>
      </c>
      <c r="P22" s="71">
        <v>2</v>
      </c>
      <c r="Q22" s="71">
        <v>4</v>
      </c>
      <c r="R22" s="71">
        <v>2</v>
      </c>
      <c r="S22" s="71">
        <v>2</v>
      </c>
      <c r="T22" s="71">
        <v>3</v>
      </c>
      <c r="U22" s="71">
        <v>2</v>
      </c>
      <c r="V22" s="71">
        <v>4</v>
      </c>
      <c r="W22" s="71">
        <v>5</v>
      </c>
      <c r="X22" s="71">
        <v>4</v>
      </c>
      <c r="Y22" s="71">
        <v>2</v>
      </c>
      <c r="Z22" s="71">
        <v>3</v>
      </c>
      <c r="AA22" s="71">
        <v>4</v>
      </c>
      <c r="AB22" s="71">
        <v>2</v>
      </c>
      <c r="AC22" s="71">
        <v>4</v>
      </c>
      <c r="AD22" s="71">
        <v>5</v>
      </c>
      <c r="AE22" s="71">
        <v>4</v>
      </c>
      <c r="AF22" s="71">
        <v>5</v>
      </c>
      <c r="AG22" s="71">
        <v>4</v>
      </c>
      <c r="AH22" s="71">
        <v>4</v>
      </c>
      <c r="AI22" s="71">
        <v>3</v>
      </c>
      <c r="AJ22" s="71">
        <v>4</v>
      </c>
      <c r="AK22" s="71">
        <v>4</v>
      </c>
      <c r="AL22" s="72">
        <f t="shared" si="0"/>
        <v>2.6666666666666665</v>
      </c>
      <c r="AM22" s="72">
        <f t="shared" si="1"/>
        <v>3.1111111111111112</v>
      </c>
      <c r="AN22" s="72">
        <f t="shared" si="2"/>
        <v>3.2222222222222223</v>
      </c>
      <c r="AO22" s="72">
        <f t="shared" si="3"/>
        <v>4.1111111111111107</v>
      </c>
    </row>
    <row r="23" spans="1:41" ht="15" customHeight="1">
      <c r="A23" s="71" t="s">
        <v>568</v>
      </c>
      <c r="B23" s="71">
        <v>5</v>
      </c>
      <c r="C23" s="71">
        <v>3</v>
      </c>
      <c r="D23" s="71">
        <v>2</v>
      </c>
      <c r="E23" s="71">
        <v>3</v>
      </c>
      <c r="F23" s="71">
        <v>2</v>
      </c>
      <c r="G23" s="71">
        <v>3</v>
      </c>
      <c r="H23" s="71">
        <v>3</v>
      </c>
      <c r="I23" s="71">
        <v>3</v>
      </c>
      <c r="J23" s="71">
        <v>2</v>
      </c>
      <c r="K23" s="71">
        <v>3</v>
      </c>
      <c r="L23" s="71">
        <v>3</v>
      </c>
      <c r="M23" s="71">
        <v>4</v>
      </c>
      <c r="N23" s="71">
        <v>2</v>
      </c>
      <c r="O23" s="71">
        <v>2</v>
      </c>
      <c r="P23" s="71">
        <v>2</v>
      </c>
      <c r="Q23" s="71">
        <v>3</v>
      </c>
      <c r="R23" s="71">
        <v>3</v>
      </c>
      <c r="S23" s="71">
        <v>2</v>
      </c>
      <c r="T23" s="71">
        <v>2</v>
      </c>
      <c r="U23" s="71">
        <v>2</v>
      </c>
      <c r="V23" s="71">
        <v>2</v>
      </c>
      <c r="W23" s="71">
        <v>5</v>
      </c>
      <c r="X23" s="71">
        <v>4</v>
      </c>
      <c r="Y23" s="71">
        <v>3</v>
      </c>
      <c r="Z23" s="71">
        <v>3</v>
      </c>
      <c r="AA23" s="71">
        <v>3</v>
      </c>
      <c r="AB23" s="71">
        <v>3</v>
      </c>
      <c r="AC23" s="71">
        <v>4</v>
      </c>
      <c r="AD23" s="71">
        <v>3</v>
      </c>
      <c r="AE23" s="71">
        <v>5</v>
      </c>
      <c r="AF23" s="71">
        <v>5</v>
      </c>
      <c r="AG23" s="71">
        <v>4</v>
      </c>
      <c r="AH23" s="71">
        <v>5</v>
      </c>
      <c r="AI23" s="71">
        <v>4</v>
      </c>
      <c r="AJ23" s="71">
        <v>4</v>
      </c>
      <c r="AK23" s="71">
        <v>5</v>
      </c>
      <c r="AL23" s="72">
        <f t="shared" si="0"/>
        <v>2.8888888888888888</v>
      </c>
      <c r="AM23" s="72">
        <f t="shared" si="1"/>
        <v>2.6666666666666665</v>
      </c>
      <c r="AN23" s="72">
        <f t="shared" si="2"/>
        <v>3</v>
      </c>
      <c r="AO23" s="72">
        <f t="shared" si="3"/>
        <v>4.333333333333333</v>
      </c>
    </row>
    <row r="24" spans="1:41" ht="15" customHeight="1">
      <c r="A24" s="105" t="s">
        <v>660</v>
      </c>
      <c r="B24" s="68">
        <f t="shared" ref="B24:AO24" si="4">AVERAGE(B5:B23)</f>
        <v>3.9473684210526314</v>
      </c>
      <c r="C24" s="68">
        <f t="shared" si="4"/>
        <v>4.1052631578947372</v>
      </c>
      <c r="D24" s="68">
        <f t="shared" si="4"/>
        <v>2.736842105263158</v>
      </c>
      <c r="E24" s="68">
        <f t="shared" si="4"/>
        <v>2.4736842105263159</v>
      </c>
      <c r="F24" s="68">
        <f t="shared" si="4"/>
        <v>2.6315789473684212</v>
      </c>
      <c r="G24" s="68">
        <f t="shared" si="4"/>
        <v>2</v>
      </c>
      <c r="H24" s="68">
        <f t="shared" si="4"/>
        <v>1.8947368421052631</v>
      </c>
      <c r="I24" s="68">
        <f t="shared" si="4"/>
        <v>2.6315789473684212</v>
      </c>
      <c r="J24" s="68">
        <f t="shared" si="4"/>
        <v>1.8947368421052631</v>
      </c>
      <c r="K24" s="68">
        <f t="shared" si="4"/>
        <v>2.9473684210526314</v>
      </c>
      <c r="L24" s="68">
        <f t="shared" si="4"/>
        <v>3.1052631578947367</v>
      </c>
      <c r="M24" s="68">
        <f t="shared" si="4"/>
        <v>4.3684210526315788</v>
      </c>
      <c r="N24" s="68">
        <f t="shared" si="4"/>
        <v>2.7894736842105261</v>
      </c>
      <c r="O24" s="68">
        <f t="shared" si="4"/>
        <v>3.1578947368421053</v>
      </c>
      <c r="P24" s="68">
        <f t="shared" si="4"/>
        <v>2.5789473684210527</v>
      </c>
      <c r="Q24" s="68">
        <f t="shared" si="4"/>
        <v>2.6842105263157894</v>
      </c>
      <c r="R24" s="68">
        <f t="shared" si="4"/>
        <v>3.0526315789473686</v>
      </c>
      <c r="S24" s="68">
        <f t="shared" si="4"/>
        <v>2.6842105263157894</v>
      </c>
      <c r="T24" s="68">
        <f t="shared" si="4"/>
        <v>3.1052631578947367</v>
      </c>
      <c r="U24" s="68">
        <f t="shared" si="4"/>
        <v>2.4736842105263159</v>
      </c>
      <c r="V24" s="68">
        <f t="shared" si="4"/>
        <v>2.8947368421052633</v>
      </c>
      <c r="W24" s="68">
        <f t="shared" si="4"/>
        <v>4.4210526315789478</v>
      </c>
      <c r="X24" s="68">
        <f t="shared" si="4"/>
        <v>3.8947368421052633</v>
      </c>
      <c r="Y24" s="68">
        <f t="shared" si="4"/>
        <v>3.0526315789473686</v>
      </c>
      <c r="Z24" s="68">
        <f t="shared" si="4"/>
        <v>2.9473684210526314</v>
      </c>
      <c r="AA24" s="68">
        <f t="shared" si="4"/>
        <v>4.0526315789473681</v>
      </c>
      <c r="AB24" s="68">
        <f t="shared" si="4"/>
        <v>2.8421052631578947</v>
      </c>
      <c r="AC24" s="68">
        <f t="shared" si="4"/>
        <v>3.736842105263158</v>
      </c>
      <c r="AD24" s="68">
        <f t="shared" si="4"/>
        <v>3.9473684210526314</v>
      </c>
      <c r="AE24" s="68">
        <f t="shared" si="4"/>
        <v>4.1578947368421053</v>
      </c>
      <c r="AF24" s="68">
        <f t="shared" si="4"/>
        <v>4.2105263157894735</v>
      </c>
      <c r="AG24" s="68">
        <f t="shared" si="4"/>
        <v>4.1052631578947372</v>
      </c>
      <c r="AH24" s="68">
        <f t="shared" si="4"/>
        <v>4</v>
      </c>
      <c r="AI24" s="68">
        <f t="shared" si="4"/>
        <v>4</v>
      </c>
      <c r="AJ24" s="68">
        <f t="shared" si="4"/>
        <v>4.0526315789473681</v>
      </c>
      <c r="AK24" s="68">
        <f t="shared" si="4"/>
        <v>4.1578947368421053</v>
      </c>
      <c r="AL24" s="68">
        <f t="shared" si="4"/>
        <v>2.7017543859649122</v>
      </c>
      <c r="AM24" s="68">
        <f t="shared" si="4"/>
        <v>3.0409356725146197</v>
      </c>
      <c r="AN24" s="68">
        <f t="shared" si="4"/>
        <v>3.2982456140350878</v>
      </c>
      <c r="AO24" s="68">
        <f t="shared" si="4"/>
        <v>4.0409356725146193</v>
      </c>
    </row>
  </sheetData>
  <autoFilter ref="A4:AO23" xr:uid="{00000000-0009-0000-0000-000009000000}"/>
  <mergeCells count="2">
    <mergeCell ref="A1:AO1"/>
    <mergeCell ref="A2:AO2"/>
  </mergeCell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D966"/>
    <pageSetUpPr fitToPage="1"/>
  </sheetPr>
  <dimension ref="A1:J44"/>
  <sheetViews>
    <sheetView showGridLines="0" zoomScale="50" zoomScaleNormal="50" workbookViewId="0">
      <pane xSplit="1" ySplit="4" topLeftCell="B5" activePane="bottomRight" state="frozen"/>
      <selection pane="topRight" activeCell="B1" sqref="B1"/>
      <selection pane="bottomLeft" activeCell="A39" sqref="A39"/>
      <selection pane="bottomRight" activeCell="D18" sqref="D18"/>
    </sheetView>
  </sheetViews>
  <sheetFormatPr defaultColWidth="8.7109375" defaultRowHeight="15" customHeight="1"/>
  <cols>
    <col min="1" max="1" width="48" customWidth="1"/>
    <col min="2" max="5" width="19" customWidth="1"/>
    <col min="6" max="10" width="18" customWidth="1"/>
  </cols>
  <sheetData>
    <row r="1" spans="1:6" ht="27.75" customHeight="1">
      <c r="A1" s="9" t="s">
        <v>569</v>
      </c>
      <c r="B1" s="9"/>
      <c r="C1" s="9"/>
      <c r="D1" s="9"/>
      <c r="E1" s="9"/>
      <c r="F1" s="9"/>
    </row>
    <row r="3" spans="1:6" ht="15" customHeight="1">
      <c r="A3" s="73" t="s">
        <v>570</v>
      </c>
    </row>
    <row r="4" spans="1:6" ht="15" customHeight="1">
      <c r="A4" s="74" t="s">
        <v>571</v>
      </c>
      <c r="B4" s="74" t="s">
        <v>295</v>
      </c>
      <c r="C4" s="74" t="s">
        <v>572</v>
      </c>
      <c r="D4" s="74" t="s">
        <v>72</v>
      </c>
      <c r="E4" s="74" t="s">
        <v>573</v>
      </c>
    </row>
    <row r="5" spans="1:6" ht="15" customHeight="1">
      <c r="A5" s="75" t="s">
        <v>480</v>
      </c>
      <c r="B5" s="76">
        <f>'QC Data'!B24</f>
        <v>3.9473684210526314</v>
      </c>
      <c r="C5" s="76">
        <f>'QC Data'!K24</f>
        <v>2.9473684210526314</v>
      </c>
      <c r="D5" s="76">
        <f>'QC Data'!T24</f>
        <v>3.1052631578947367</v>
      </c>
      <c r="E5" s="76">
        <f>'QC Data'!AC24</f>
        <v>3.736842105263158</v>
      </c>
    </row>
    <row r="6" spans="1:6" ht="15" customHeight="1">
      <c r="A6" s="75" t="s">
        <v>574</v>
      </c>
      <c r="B6" s="76">
        <f>'QC Data'!C24</f>
        <v>4.1052631578947372</v>
      </c>
      <c r="C6" s="76">
        <f>'QC Data'!L24</f>
        <v>3.1052631578947367</v>
      </c>
      <c r="D6" s="76">
        <f>'QC Data'!U24</f>
        <v>2.4736842105263159</v>
      </c>
      <c r="E6" s="76">
        <f>'QC Data'!AD24</f>
        <v>3.9473684210526314</v>
      </c>
    </row>
    <row r="7" spans="1:6" ht="15" customHeight="1">
      <c r="A7" s="75" t="s">
        <v>575</v>
      </c>
      <c r="B7" s="76">
        <f>'QC Data'!D24</f>
        <v>2.736842105263158</v>
      </c>
      <c r="C7" s="76">
        <f>'QC Data'!M24</f>
        <v>4.3684210526315788</v>
      </c>
      <c r="D7" s="76">
        <f>'QC Data'!V24</f>
        <v>2.8947368421052633</v>
      </c>
      <c r="E7" s="76">
        <f>'QC Data'!AE24</f>
        <v>4.1578947368421053</v>
      </c>
    </row>
    <row r="8" spans="1:6" ht="15" customHeight="1">
      <c r="A8" s="75" t="s">
        <v>576</v>
      </c>
      <c r="B8" s="76">
        <f>'QC Data'!E24</f>
        <v>2.4736842105263159</v>
      </c>
      <c r="C8" s="76">
        <f>'QC Data'!N24</f>
        <v>2.7894736842105261</v>
      </c>
      <c r="D8" s="76">
        <f>'QC Data'!W24</f>
        <v>4.4210526315789478</v>
      </c>
      <c r="E8" s="76">
        <f>'QC Data'!AF24</f>
        <v>4.2105263157894735</v>
      </c>
    </row>
    <row r="9" spans="1:6" ht="15" customHeight="1">
      <c r="A9" s="75" t="s">
        <v>577</v>
      </c>
      <c r="B9" s="76">
        <f>'QC Data'!F24</f>
        <v>2.6315789473684212</v>
      </c>
      <c r="C9" s="76">
        <f>'QC Data'!O24</f>
        <v>3.1578947368421053</v>
      </c>
      <c r="D9" s="76">
        <f>'QC Data'!X24</f>
        <v>3.8947368421052633</v>
      </c>
      <c r="E9" s="76">
        <f>'QC Data'!AG24</f>
        <v>4.1052631578947372</v>
      </c>
    </row>
    <row r="10" spans="1:6" ht="15" customHeight="1">
      <c r="A10" s="75" t="s">
        <v>578</v>
      </c>
      <c r="B10" s="76">
        <f>'QC Data'!G24</f>
        <v>2</v>
      </c>
      <c r="C10" s="76">
        <f>'QC Data'!P24</f>
        <v>2.5789473684210527</v>
      </c>
      <c r="D10" s="76">
        <f>'QC Data'!Y24</f>
        <v>3.0526315789473686</v>
      </c>
      <c r="E10" s="76">
        <f>'QC Data'!AH24</f>
        <v>4</v>
      </c>
    </row>
    <row r="11" spans="1:6" ht="15" customHeight="1">
      <c r="A11" s="75" t="s">
        <v>579</v>
      </c>
      <c r="B11" s="76">
        <f>'QC Data'!H24</f>
        <v>1.8947368421052631</v>
      </c>
      <c r="C11" s="76">
        <f>'QC Data'!Q24</f>
        <v>2.6842105263157894</v>
      </c>
      <c r="D11" s="76">
        <f>'QC Data'!Z24</f>
        <v>2.9473684210526314</v>
      </c>
      <c r="E11" s="76">
        <f>'QC Data'!AI24</f>
        <v>4</v>
      </c>
    </row>
    <row r="12" spans="1:6" ht="15" customHeight="1">
      <c r="A12" s="75" t="s">
        <v>492</v>
      </c>
      <c r="B12" s="76">
        <f>'QC Data'!I24</f>
        <v>2.6315789473684212</v>
      </c>
      <c r="C12" s="76">
        <f>'QC Data'!R24</f>
        <v>3.0526315789473686</v>
      </c>
      <c r="D12" s="76">
        <f>'QC Data'!AA24</f>
        <v>4.0526315789473681</v>
      </c>
      <c r="E12" s="76">
        <f>'QC Data'!AJ24</f>
        <v>4.0526315789473681</v>
      </c>
    </row>
    <row r="13" spans="1:6" ht="15" customHeight="1">
      <c r="A13" s="75" t="s">
        <v>580</v>
      </c>
      <c r="B13" s="76">
        <f>'QC Data'!J24</f>
        <v>1.8947368421052631</v>
      </c>
      <c r="C13" s="76">
        <f>'QC Data'!S24</f>
        <v>2.6842105263157894</v>
      </c>
      <c r="D13" s="76">
        <f>'QC Data'!AB24</f>
        <v>2.8421052631578947</v>
      </c>
      <c r="E13" s="76">
        <f>'QC Data'!AK24</f>
        <v>4.1578947368421053</v>
      </c>
    </row>
    <row r="14" spans="1:6" ht="15" customHeight="1">
      <c r="A14" s="77" t="s">
        <v>581</v>
      </c>
      <c r="B14" s="68">
        <f>AVERAGE(B5:B13)</f>
        <v>2.7017543859649127</v>
      </c>
      <c r="C14" s="68">
        <f>AVERAGE(C5:C13)</f>
        <v>3.0409356725146193</v>
      </c>
      <c r="D14" s="68">
        <f>AVERAGE(D5:D13)</f>
        <v>3.2982456140350878</v>
      </c>
      <c r="E14" s="68">
        <f>AVERAGE(E5:E13)</f>
        <v>4.0409356725146193</v>
      </c>
    </row>
    <row r="16" spans="1:6" ht="15" customHeight="1">
      <c r="A16" s="73" t="s">
        <v>582</v>
      </c>
    </row>
    <row r="17" spans="1:10" ht="30" customHeight="1">
      <c r="A17" s="78" t="s">
        <v>583</v>
      </c>
      <c r="B17" s="78" t="s">
        <v>584</v>
      </c>
      <c r="C17" s="78" t="s">
        <v>585</v>
      </c>
      <c r="D17" s="78" t="s">
        <v>586</v>
      </c>
    </row>
    <row r="18" spans="1:10" ht="15" customHeight="1">
      <c r="A18" s="75" t="s">
        <v>295</v>
      </c>
      <c r="B18" s="79">
        <f>SUM(B5:B13)</f>
        <v>24.315789473684212</v>
      </c>
      <c r="C18" s="80">
        <f>COUNTA($A$5:$A$13)*5</f>
        <v>45</v>
      </c>
      <c r="D18" s="80">
        <f>IFERROR(B18/C18*100,0)</f>
        <v>54.035087719298247</v>
      </c>
    </row>
    <row r="19" spans="1:10" ht="15" customHeight="1">
      <c r="A19" s="75" t="s">
        <v>572</v>
      </c>
      <c r="B19" s="79">
        <f>SUM(C5:C13)</f>
        <v>27.368421052631575</v>
      </c>
      <c r="C19" s="80">
        <f>COUNTA($A$5:$A$13)*5</f>
        <v>45</v>
      </c>
      <c r="D19" s="80">
        <f>IFERROR(B19/C19*100,0)</f>
        <v>60.818713450292393</v>
      </c>
    </row>
    <row r="20" spans="1:10" ht="15" customHeight="1">
      <c r="A20" s="75" t="s">
        <v>72</v>
      </c>
      <c r="B20" s="79">
        <f>SUM(D5:D13)</f>
        <v>29.684210526315791</v>
      </c>
      <c r="C20" s="80">
        <f>COUNTA($A$5:$A$13)*5</f>
        <v>45</v>
      </c>
      <c r="D20" s="80">
        <f>IFERROR(B20/C20*100,0)</f>
        <v>65.964912280701753</v>
      </c>
    </row>
    <row r="21" spans="1:10" ht="15" customHeight="1">
      <c r="A21" s="75" t="s">
        <v>573</v>
      </c>
      <c r="B21" s="79">
        <f>SUM(E5:E13)</f>
        <v>36.368421052631575</v>
      </c>
      <c r="C21" s="80">
        <f>COUNTA($A$5:$A$13)*5</f>
        <v>45</v>
      </c>
      <c r="D21" s="80">
        <f>IFERROR(B21/C21*100,0)</f>
        <v>80.818713450292393</v>
      </c>
    </row>
    <row r="24" spans="1:10" ht="21.75" customHeight="1">
      <c r="A24" s="81" t="s">
        <v>509</v>
      </c>
      <c r="B24" s="81" t="s">
        <v>587</v>
      </c>
      <c r="C24" s="81" t="s">
        <v>588</v>
      </c>
      <c r="D24" s="81" t="s">
        <v>589</v>
      </c>
      <c r="E24" s="81" t="s">
        <v>590</v>
      </c>
      <c r="F24" s="81" t="s">
        <v>591</v>
      </c>
      <c r="G24" s="81" t="s">
        <v>592</v>
      </c>
      <c r="H24" s="81" t="s">
        <v>593</v>
      </c>
      <c r="I24" s="81" t="s">
        <v>594</v>
      </c>
      <c r="J24" s="82" t="s">
        <v>595</v>
      </c>
    </row>
    <row r="25" spans="1:10" ht="15" customHeight="1">
      <c r="A25" s="83" t="s">
        <v>550</v>
      </c>
      <c r="B25" s="84">
        <f>'QC Data'!AL5</f>
        <v>2.8888888888888888</v>
      </c>
      <c r="C25" s="84">
        <f>'QC Data'!AM5</f>
        <v>3.1111111111111112</v>
      </c>
      <c r="D25" s="84">
        <f>'QC Data'!AN5</f>
        <v>3.2222222222222223</v>
      </c>
      <c r="E25" s="84">
        <f>'QC Data'!AO5</f>
        <v>3.6666666666666665</v>
      </c>
      <c r="F25" s="84">
        <f t="shared" ref="F25:F43" si="0">1+COUNTIF($B25:$E25,"&gt;"&amp;B25)+(COUNTIF($B25:$E25,B25)-1)/2</f>
        <v>4</v>
      </c>
      <c r="G25" s="84">
        <f t="shared" ref="G25:G43" si="1">1+COUNTIF($B25:$E25,"&gt;"&amp;C25)+(COUNTIF($B25:$E25,C25)-1)/2</f>
        <v>3</v>
      </c>
      <c r="H25" s="84">
        <f t="shared" ref="H25:H43" si="2">1+COUNTIF($B25:$E25,"&gt;"&amp;D25)+(COUNTIF($B25:$E25,D25)-1)/2</f>
        <v>2</v>
      </c>
      <c r="I25" s="84">
        <f t="shared" ref="I25:I43" si="3">1+COUNTIF($B25:$E25,"&gt;"&amp;E25)+(COUNTIF($B25:$E25,E25)-1)/2</f>
        <v>1</v>
      </c>
      <c r="J25" s="85">
        <f t="shared" ref="J25:J43" si="4">IF(COUNTIF($F25:$I25,F25)&gt;1,COUNTIF($F25:$I25,F25)^3-COUNTIF($F25:$I25,F25),0)+IF(AND(COUNTIF($F25:$I25,G25)&gt;1,G25&lt;&gt;F25),COUNTIF($F25:$I25,G25)^3-COUNTIF($F25:$I25,G25),0)+IF(AND(COUNTIF($F25:$I25,H25)&gt;1,H25&lt;&gt;F25,H25&lt;&gt;G25),COUNTIF($F25:$I25,H25)^3-COUNTIF($F25:$I25,H25),0)+IF(AND(COUNTIF($F25:$I25,I25)&gt;1,I25&lt;&gt;F25,I25&lt;&gt;G25,I25&lt;&gt;H25),COUNTIF($F25:$I25,I25)^3-COUNTIF($F25:$I25,I25),0)</f>
        <v>0</v>
      </c>
    </row>
    <row r="26" spans="1:10" ht="15" customHeight="1">
      <c r="A26" s="83" t="s">
        <v>551</v>
      </c>
      <c r="B26" s="84">
        <f>'QC Data'!AL6</f>
        <v>2.1111111111111112</v>
      </c>
      <c r="C26" s="84">
        <f>'QC Data'!AM6</f>
        <v>3.2222222222222223</v>
      </c>
      <c r="D26" s="84">
        <f>'QC Data'!AN6</f>
        <v>3.5555555555555554</v>
      </c>
      <c r="E26" s="84">
        <f>'QC Data'!AO6</f>
        <v>4.1111111111111107</v>
      </c>
      <c r="F26" s="84">
        <f t="shared" si="0"/>
        <v>4</v>
      </c>
      <c r="G26" s="84">
        <f t="shared" si="1"/>
        <v>3</v>
      </c>
      <c r="H26" s="84">
        <f t="shared" si="2"/>
        <v>2</v>
      </c>
      <c r="I26" s="84">
        <f t="shared" si="3"/>
        <v>1</v>
      </c>
      <c r="J26" s="85">
        <f t="shared" si="4"/>
        <v>0</v>
      </c>
    </row>
    <row r="27" spans="1:10" ht="15" customHeight="1">
      <c r="A27" s="83" t="s">
        <v>552</v>
      </c>
      <c r="B27" s="84">
        <f>'QC Data'!AL7</f>
        <v>2.3333333333333335</v>
      </c>
      <c r="C27" s="84">
        <f>'QC Data'!AM7</f>
        <v>2.6666666666666665</v>
      </c>
      <c r="D27" s="84">
        <f>'QC Data'!AN7</f>
        <v>3.7777777777777777</v>
      </c>
      <c r="E27" s="84">
        <f>'QC Data'!AO7</f>
        <v>4.2222222222222223</v>
      </c>
      <c r="F27" s="84">
        <f t="shared" si="0"/>
        <v>4</v>
      </c>
      <c r="G27" s="84">
        <f t="shared" si="1"/>
        <v>3</v>
      </c>
      <c r="H27" s="84">
        <f t="shared" si="2"/>
        <v>2</v>
      </c>
      <c r="I27" s="84">
        <f t="shared" si="3"/>
        <v>1</v>
      </c>
      <c r="J27" s="85">
        <f t="shared" si="4"/>
        <v>0</v>
      </c>
    </row>
    <row r="28" spans="1:10" ht="15" customHeight="1">
      <c r="A28" s="83" t="s">
        <v>553</v>
      </c>
      <c r="B28" s="84">
        <f>'QC Data'!AL8</f>
        <v>2.5555555555555554</v>
      </c>
      <c r="C28" s="84">
        <f>'QC Data'!AM8</f>
        <v>3</v>
      </c>
      <c r="D28" s="84">
        <f>'QC Data'!AN8</f>
        <v>3.4444444444444446</v>
      </c>
      <c r="E28" s="84">
        <f>'QC Data'!AO8</f>
        <v>4</v>
      </c>
      <c r="F28" s="84">
        <f t="shared" si="0"/>
        <v>4</v>
      </c>
      <c r="G28" s="84">
        <f t="shared" si="1"/>
        <v>3</v>
      </c>
      <c r="H28" s="84">
        <f t="shared" si="2"/>
        <v>2</v>
      </c>
      <c r="I28" s="84">
        <f t="shared" si="3"/>
        <v>1</v>
      </c>
      <c r="J28" s="85">
        <f t="shared" si="4"/>
        <v>0</v>
      </c>
    </row>
    <row r="29" spans="1:10" ht="15" customHeight="1">
      <c r="A29" s="83" t="s">
        <v>554</v>
      </c>
      <c r="B29" s="84">
        <f>'QC Data'!AL9</f>
        <v>2.8888888888888888</v>
      </c>
      <c r="C29" s="84">
        <f>'QC Data'!AM9</f>
        <v>3.4444444444444446</v>
      </c>
      <c r="D29" s="84">
        <f>'QC Data'!AN9</f>
        <v>3</v>
      </c>
      <c r="E29" s="84">
        <f>'QC Data'!AO9</f>
        <v>4.4444444444444446</v>
      </c>
      <c r="F29" s="84">
        <f t="shared" si="0"/>
        <v>4</v>
      </c>
      <c r="G29" s="84">
        <f t="shared" si="1"/>
        <v>2</v>
      </c>
      <c r="H29" s="84">
        <f t="shared" si="2"/>
        <v>3</v>
      </c>
      <c r="I29" s="84">
        <f t="shared" si="3"/>
        <v>1</v>
      </c>
      <c r="J29" s="85">
        <f t="shared" si="4"/>
        <v>0</v>
      </c>
    </row>
    <row r="30" spans="1:10" ht="15" customHeight="1">
      <c r="A30" s="83" t="s">
        <v>555</v>
      </c>
      <c r="B30" s="84">
        <f>'QC Data'!AL10</f>
        <v>3</v>
      </c>
      <c r="C30" s="84">
        <f>'QC Data'!AM10</f>
        <v>3.4444444444444446</v>
      </c>
      <c r="D30" s="84">
        <f>'QC Data'!AN10</f>
        <v>3.3333333333333335</v>
      </c>
      <c r="E30" s="84">
        <f>'QC Data'!AO10</f>
        <v>4</v>
      </c>
      <c r="F30" s="84">
        <f t="shared" si="0"/>
        <v>4</v>
      </c>
      <c r="G30" s="84">
        <f t="shared" si="1"/>
        <v>2</v>
      </c>
      <c r="H30" s="84">
        <f t="shared" si="2"/>
        <v>3</v>
      </c>
      <c r="I30" s="84">
        <f t="shared" si="3"/>
        <v>1</v>
      </c>
      <c r="J30" s="85">
        <f t="shared" si="4"/>
        <v>0</v>
      </c>
    </row>
    <row r="31" spans="1:10" ht="15" customHeight="1">
      <c r="A31" s="83" t="s">
        <v>556</v>
      </c>
      <c r="B31" s="84">
        <f>'QC Data'!AL11</f>
        <v>3</v>
      </c>
      <c r="C31" s="84">
        <f>'QC Data'!AM11</f>
        <v>3.2222222222222223</v>
      </c>
      <c r="D31" s="84">
        <f>'QC Data'!AN11</f>
        <v>3.4444444444444446</v>
      </c>
      <c r="E31" s="84">
        <f>'QC Data'!AO11</f>
        <v>3.8888888888888888</v>
      </c>
      <c r="F31" s="84">
        <f t="shared" si="0"/>
        <v>4</v>
      </c>
      <c r="G31" s="84">
        <f t="shared" si="1"/>
        <v>3</v>
      </c>
      <c r="H31" s="84">
        <f t="shared" si="2"/>
        <v>2</v>
      </c>
      <c r="I31" s="84">
        <f t="shared" si="3"/>
        <v>1</v>
      </c>
      <c r="J31" s="85">
        <f t="shared" si="4"/>
        <v>0</v>
      </c>
    </row>
    <row r="32" spans="1:10" ht="15" customHeight="1">
      <c r="A32" s="83" t="s">
        <v>557</v>
      </c>
      <c r="B32" s="84">
        <f>'QC Data'!AL12</f>
        <v>2.4444444444444446</v>
      </c>
      <c r="C32" s="84">
        <f>'QC Data'!AM12</f>
        <v>3</v>
      </c>
      <c r="D32" s="84">
        <f>'QC Data'!AN12</f>
        <v>3.2222222222222223</v>
      </c>
      <c r="E32" s="84">
        <f>'QC Data'!AO12</f>
        <v>3.7777777777777777</v>
      </c>
      <c r="F32" s="84">
        <f t="shared" si="0"/>
        <v>4</v>
      </c>
      <c r="G32" s="84">
        <f t="shared" si="1"/>
        <v>3</v>
      </c>
      <c r="H32" s="84">
        <f t="shared" si="2"/>
        <v>2</v>
      </c>
      <c r="I32" s="84">
        <f t="shared" si="3"/>
        <v>1</v>
      </c>
      <c r="J32" s="85">
        <f t="shared" si="4"/>
        <v>0</v>
      </c>
    </row>
    <row r="33" spans="1:10" ht="15" customHeight="1">
      <c r="A33" s="83" t="s">
        <v>558</v>
      </c>
      <c r="B33" s="84">
        <f>'QC Data'!AL13</f>
        <v>2.7777777777777777</v>
      </c>
      <c r="C33" s="84">
        <f>'QC Data'!AM13</f>
        <v>2.6666666666666665</v>
      </c>
      <c r="D33" s="84">
        <f>'QC Data'!AN13</f>
        <v>3.3333333333333335</v>
      </c>
      <c r="E33" s="84">
        <f>'QC Data'!AO13</f>
        <v>3.8888888888888888</v>
      </c>
      <c r="F33" s="84">
        <f t="shared" si="0"/>
        <v>3</v>
      </c>
      <c r="G33" s="84">
        <f t="shared" si="1"/>
        <v>4</v>
      </c>
      <c r="H33" s="84">
        <f t="shared" si="2"/>
        <v>2</v>
      </c>
      <c r="I33" s="84">
        <f t="shared" si="3"/>
        <v>1</v>
      </c>
      <c r="J33" s="85">
        <f t="shared" si="4"/>
        <v>0</v>
      </c>
    </row>
    <row r="34" spans="1:10" ht="15" customHeight="1">
      <c r="A34" s="83" t="s">
        <v>559</v>
      </c>
      <c r="B34" s="84">
        <f>'QC Data'!AL14</f>
        <v>2.7777777777777777</v>
      </c>
      <c r="C34" s="84">
        <f>'QC Data'!AM14</f>
        <v>3.1111111111111112</v>
      </c>
      <c r="D34" s="84">
        <f>'QC Data'!AN14</f>
        <v>2.8888888888888888</v>
      </c>
      <c r="E34" s="84">
        <f>'QC Data'!AO14</f>
        <v>3.6666666666666665</v>
      </c>
      <c r="F34" s="84">
        <f t="shared" si="0"/>
        <v>4</v>
      </c>
      <c r="G34" s="84">
        <f t="shared" si="1"/>
        <v>2</v>
      </c>
      <c r="H34" s="84">
        <f t="shared" si="2"/>
        <v>3</v>
      </c>
      <c r="I34" s="84">
        <f t="shared" si="3"/>
        <v>1</v>
      </c>
      <c r="J34" s="85">
        <f t="shared" si="4"/>
        <v>0</v>
      </c>
    </row>
    <row r="35" spans="1:10" ht="15" customHeight="1">
      <c r="A35" s="83" t="s">
        <v>560</v>
      </c>
      <c r="B35" s="84">
        <f>'QC Data'!AL15</f>
        <v>2.5555555555555554</v>
      </c>
      <c r="C35" s="84">
        <f>'QC Data'!AM15</f>
        <v>3</v>
      </c>
      <c r="D35" s="84">
        <f>'QC Data'!AN15</f>
        <v>3.2222222222222223</v>
      </c>
      <c r="E35" s="84">
        <f>'QC Data'!AO15</f>
        <v>4.333333333333333</v>
      </c>
      <c r="F35" s="84">
        <f t="shared" si="0"/>
        <v>4</v>
      </c>
      <c r="G35" s="84">
        <f t="shared" si="1"/>
        <v>3</v>
      </c>
      <c r="H35" s="84">
        <f t="shared" si="2"/>
        <v>2</v>
      </c>
      <c r="I35" s="84">
        <f t="shared" si="3"/>
        <v>1</v>
      </c>
      <c r="J35" s="85">
        <f t="shared" si="4"/>
        <v>0</v>
      </c>
    </row>
    <row r="36" spans="1:10" ht="15" customHeight="1">
      <c r="A36" s="83" t="s">
        <v>561</v>
      </c>
      <c r="B36" s="84">
        <f>'QC Data'!AL16</f>
        <v>2.7777777777777777</v>
      </c>
      <c r="C36" s="84">
        <f>'QC Data'!AM16</f>
        <v>2.7777777777777777</v>
      </c>
      <c r="D36" s="84">
        <f>'QC Data'!AN16</f>
        <v>3.2222222222222223</v>
      </c>
      <c r="E36" s="84">
        <f>'QC Data'!AO16</f>
        <v>4</v>
      </c>
      <c r="F36" s="84">
        <f t="shared" si="0"/>
        <v>3.5</v>
      </c>
      <c r="G36" s="84">
        <f t="shared" si="1"/>
        <v>3.5</v>
      </c>
      <c r="H36" s="84">
        <f t="shared" si="2"/>
        <v>2</v>
      </c>
      <c r="I36" s="84">
        <f t="shared" si="3"/>
        <v>1</v>
      </c>
      <c r="J36" s="85">
        <f t="shared" si="4"/>
        <v>6</v>
      </c>
    </row>
    <row r="37" spans="1:10" ht="15" customHeight="1">
      <c r="A37" s="83" t="s">
        <v>562</v>
      </c>
      <c r="B37" s="84">
        <f>'QC Data'!AL17</f>
        <v>2.3333333333333335</v>
      </c>
      <c r="C37" s="84">
        <f>'QC Data'!AM17</f>
        <v>3.1111111111111112</v>
      </c>
      <c r="D37" s="84">
        <f>'QC Data'!AN17</f>
        <v>3.6666666666666665</v>
      </c>
      <c r="E37" s="84">
        <f>'QC Data'!AO17</f>
        <v>4.2222222222222223</v>
      </c>
      <c r="F37" s="84">
        <f t="shared" si="0"/>
        <v>4</v>
      </c>
      <c r="G37" s="84">
        <f t="shared" si="1"/>
        <v>3</v>
      </c>
      <c r="H37" s="84">
        <f t="shared" si="2"/>
        <v>2</v>
      </c>
      <c r="I37" s="84">
        <f t="shared" si="3"/>
        <v>1</v>
      </c>
      <c r="J37" s="85">
        <f t="shared" si="4"/>
        <v>0</v>
      </c>
    </row>
    <row r="38" spans="1:10" ht="15" customHeight="1">
      <c r="A38" s="83" t="s">
        <v>563</v>
      </c>
      <c r="B38" s="84">
        <f>'QC Data'!AL18</f>
        <v>3</v>
      </c>
      <c r="C38" s="84">
        <f>'QC Data'!AM18</f>
        <v>2.8888888888888888</v>
      </c>
      <c r="D38" s="84">
        <f>'QC Data'!AN18</f>
        <v>3.3333333333333335</v>
      </c>
      <c r="E38" s="84">
        <f>'QC Data'!AO18</f>
        <v>3.8888888888888888</v>
      </c>
      <c r="F38" s="84">
        <f t="shared" si="0"/>
        <v>3</v>
      </c>
      <c r="G38" s="84">
        <f t="shared" si="1"/>
        <v>4</v>
      </c>
      <c r="H38" s="84">
        <f t="shared" si="2"/>
        <v>2</v>
      </c>
      <c r="I38" s="84">
        <f t="shared" si="3"/>
        <v>1</v>
      </c>
      <c r="J38" s="85">
        <f t="shared" si="4"/>
        <v>0</v>
      </c>
    </row>
    <row r="39" spans="1:10" ht="15" customHeight="1">
      <c r="A39" s="83" t="s">
        <v>564</v>
      </c>
      <c r="B39" s="84">
        <f>'QC Data'!AL19</f>
        <v>3</v>
      </c>
      <c r="C39" s="84">
        <f>'QC Data'!AM19</f>
        <v>3.3333333333333335</v>
      </c>
      <c r="D39" s="84">
        <f>'QC Data'!AN19</f>
        <v>3.5555555555555554</v>
      </c>
      <c r="E39" s="84">
        <f>'QC Data'!AO19</f>
        <v>4</v>
      </c>
      <c r="F39" s="84">
        <f t="shared" si="0"/>
        <v>4</v>
      </c>
      <c r="G39" s="84">
        <f t="shared" si="1"/>
        <v>3</v>
      </c>
      <c r="H39" s="84">
        <f t="shared" si="2"/>
        <v>2</v>
      </c>
      <c r="I39" s="84">
        <f t="shared" si="3"/>
        <v>1</v>
      </c>
      <c r="J39" s="85">
        <f t="shared" si="4"/>
        <v>0</v>
      </c>
    </row>
    <row r="40" spans="1:10" ht="15" customHeight="1">
      <c r="A40" s="83" t="s">
        <v>565</v>
      </c>
      <c r="B40" s="84">
        <f>'QC Data'!AL20</f>
        <v>2.7777777777777777</v>
      </c>
      <c r="C40" s="84">
        <f>'QC Data'!AM20</f>
        <v>3.1111111111111112</v>
      </c>
      <c r="D40" s="84">
        <f>'QC Data'!AN20</f>
        <v>3</v>
      </c>
      <c r="E40" s="84">
        <f>'QC Data'!AO20</f>
        <v>4.2222222222222223</v>
      </c>
      <c r="F40" s="84">
        <f t="shared" si="0"/>
        <v>4</v>
      </c>
      <c r="G40" s="84">
        <f t="shared" si="1"/>
        <v>2</v>
      </c>
      <c r="H40" s="84">
        <f t="shared" si="2"/>
        <v>3</v>
      </c>
      <c r="I40" s="84">
        <f t="shared" si="3"/>
        <v>1</v>
      </c>
      <c r="J40" s="85">
        <f t="shared" si="4"/>
        <v>0</v>
      </c>
    </row>
    <row r="41" spans="1:10" ht="15" customHeight="1">
      <c r="A41" s="83" t="s">
        <v>566</v>
      </c>
      <c r="B41" s="84">
        <f>'QC Data'!AL21</f>
        <v>2.5555555555555554</v>
      </c>
      <c r="C41" s="84">
        <f>'QC Data'!AM21</f>
        <v>2.8888888888888888</v>
      </c>
      <c r="D41" s="84">
        <f>'QC Data'!AN21</f>
        <v>3.2222222222222223</v>
      </c>
      <c r="E41" s="84">
        <f>'QC Data'!AO21</f>
        <v>4</v>
      </c>
      <c r="F41" s="84">
        <f t="shared" si="0"/>
        <v>4</v>
      </c>
      <c r="G41" s="84">
        <f t="shared" si="1"/>
        <v>3</v>
      </c>
      <c r="H41" s="84">
        <f t="shared" si="2"/>
        <v>2</v>
      </c>
      <c r="I41" s="84">
        <f t="shared" si="3"/>
        <v>1</v>
      </c>
      <c r="J41" s="85">
        <f t="shared" si="4"/>
        <v>0</v>
      </c>
    </row>
    <row r="42" spans="1:10" ht="15" customHeight="1">
      <c r="A42" s="83" t="s">
        <v>567</v>
      </c>
      <c r="B42" s="84">
        <f>'QC Data'!AL22</f>
        <v>2.6666666666666665</v>
      </c>
      <c r="C42" s="84">
        <f>'QC Data'!AM22</f>
        <v>3.1111111111111112</v>
      </c>
      <c r="D42" s="84">
        <f>'QC Data'!AN22</f>
        <v>3.2222222222222223</v>
      </c>
      <c r="E42" s="84">
        <f>'QC Data'!AO22</f>
        <v>4.1111111111111107</v>
      </c>
      <c r="F42" s="84">
        <f t="shared" si="0"/>
        <v>4</v>
      </c>
      <c r="G42" s="84">
        <f t="shared" si="1"/>
        <v>3</v>
      </c>
      <c r="H42" s="84">
        <f t="shared" si="2"/>
        <v>2</v>
      </c>
      <c r="I42" s="84">
        <f t="shared" si="3"/>
        <v>1</v>
      </c>
      <c r="J42" s="85">
        <f t="shared" si="4"/>
        <v>0</v>
      </c>
    </row>
    <row r="43" spans="1:10" ht="15" customHeight="1">
      <c r="A43" s="83" t="s">
        <v>568</v>
      </c>
      <c r="B43" s="84">
        <f>'QC Data'!AL23</f>
        <v>2.8888888888888888</v>
      </c>
      <c r="C43" s="84">
        <f>'QC Data'!AM23</f>
        <v>2.6666666666666665</v>
      </c>
      <c r="D43" s="84">
        <f>'QC Data'!AN23</f>
        <v>3</v>
      </c>
      <c r="E43" s="84">
        <f>'QC Data'!AO23</f>
        <v>4.333333333333333</v>
      </c>
      <c r="F43" s="84">
        <f t="shared" si="0"/>
        <v>3</v>
      </c>
      <c r="G43" s="84">
        <f t="shared" si="1"/>
        <v>4</v>
      </c>
      <c r="H43" s="84">
        <f t="shared" si="2"/>
        <v>2</v>
      </c>
      <c r="I43" s="84">
        <f t="shared" si="3"/>
        <v>1</v>
      </c>
      <c r="J43" s="85">
        <f t="shared" si="4"/>
        <v>0</v>
      </c>
    </row>
    <row r="44" spans="1:10" ht="15" customHeight="1">
      <c r="F44" s="86">
        <f>SUM(F25:F43)</f>
        <v>72.5</v>
      </c>
      <c r="G44" s="86">
        <f>SUM(G25:G43)</f>
        <v>56.5</v>
      </c>
      <c r="H44" s="86">
        <f>SUM(H25:H43)</f>
        <v>42</v>
      </c>
      <c r="I44" s="86">
        <f>SUM(I25:I43)</f>
        <v>19</v>
      </c>
    </row>
  </sheetData>
  <mergeCells count="1">
    <mergeCell ref="A1:F1"/>
  </mergeCells>
  <pageMargins left="0.75" right="0.75" top="1" bottom="1" header="0.511811023622047" footer="0.511811023622047"/>
  <pageSetup fitToHeight="0" orientation="landscape" horizontalDpi="300" verticalDpi="30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D966"/>
  </sheetPr>
  <dimension ref="A1:N61"/>
  <sheetViews>
    <sheetView showGridLines="0" topLeftCell="A14" zoomScale="80" zoomScaleNormal="80" workbookViewId="0">
      <selection activeCell="F39" sqref="F39"/>
    </sheetView>
  </sheetViews>
  <sheetFormatPr defaultColWidth="8.7109375" defaultRowHeight="15" customHeight="1"/>
  <cols>
    <col min="1" max="1" width="31" customWidth="1"/>
    <col min="2" max="4" width="18" customWidth="1"/>
    <col min="5" max="5" width="23" customWidth="1"/>
    <col min="6" max="8" width="19" customWidth="1"/>
    <col min="9" max="9" width="10" customWidth="1"/>
    <col min="10" max="10" width="18" customWidth="1"/>
    <col min="11" max="12" width="17" customWidth="1"/>
    <col min="13" max="13" width="20" hidden="1" customWidth="1"/>
    <col min="14" max="14" width="42" customWidth="1"/>
  </cols>
  <sheetData>
    <row r="1" spans="1:14" ht="27.75" customHeight="1">
      <c r="A1" s="3" t="s">
        <v>596</v>
      </c>
      <c r="B1" s="3"/>
      <c r="C1" s="3"/>
      <c r="D1" s="3"/>
      <c r="E1" s="3"/>
      <c r="F1" s="3"/>
      <c r="G1" s="3"/>
      <c r="H1" s="3"/>
      <c r="I1" s="3"/>
      <c r="J1" s="3"/>
      <c r="K1" s="3"/>
      <c r="L1" s="3"/>
      <c r="M1" s="3"/>
      <c r="N1" s="3"/>
    </row>
    <row r="2" spans="1:14" ht="30" customHeight="1">
      <c r="A2" s="2" t="s">
        <v>597</v>
      </c>
      <c r="B2" s="2"/>
      <c r="C2" s="2"/>
      <c r="D2" s="2"/>
      <c r="E2" s="2"/>
      <c r="F2" s="2"/>
      <c r="G2" s="2"/>
      <c r="H2" s="2"/>
      <c r="I2" s="2"/>
      <c r="J2" s="2"/>
      <c r="K2" s="2"/>
      <c r="L2" s="2"/>
      <c r="M2" s="2"/>
      <c r="N2" s="2"/>
    </row>
    <row r="4" spans="1:14" ht="15" customHeight="1">
      <c r="A4" s="1" t="s">
        <v>598</v>
      </c>
      <c r="B4" s="1"/>
      <c r="C4" s="1"/>
      <c r="D4" s="1"/>
      <c r="E4" s="1"/>
      <c r="F4" s="1"/>
      <c r="G4" s="1"/>
      <c r="H4" s="1"/>
      <c r="I4" s="1"/>
      <c r="J4" s="1"/>
      <c r="K4" s="1"/>
      <c r="L4" s="1"/>
      <c r="M4" s="1"/>
      <c r="N4" s="1"/>
    </row>
    <row r="5" spans="1:14" ht="23.25" customHeight="1">
      <c r="A5" s="87" t="s">
        <v>583</v>
      </c>
      <c r="B5" s="87" t="s">
        <v>599</v>
      </c>
      <c r="C5" s="87" t="s">
        <v>586</v>
      </c>
      <c r="D5" s="87" t="s">
        <v>600</v>
      </c>
      <c r="E5" s="87" t="s">
        <v>601</v>
      </c>
      <c r="F5" s="87" t="s">
        <v>602</v>
      </c>
    </row>
    <row r="6" spans="1:14" ht="27.75" customHeight="1">
      <c r="A6" s="88" t="s">
        <v>295</v>
      </c>
      <c r="B6" s="101">
        <f>QC_Summary!B14</f>
        <v>2.7017543859649127</v>
      </c>
      <c r="C6" s="106">
        <f>QC_Summary!D18</f>
        <v>54.035087719298247</v>
      </c>
      <c r="D6" s="89">
        <f>RANK(B6,$B$6:$B$9,0)</f>
        <v>4</v>
      </c>
      <c r="E6" s="101">
        <f>$B$9-B6</f>
        <v>1.3391812865497066</v>
      </c>
      <c r="F6" s="90" t="str">
        <f>IF(A6="PRASASTI","Reference approach",IF(E6&gt;0,"PRASASTI mean is higher",IF(E6&lt;0,"PRASASTI mean is lower","Equal mean scores")))</f>
        <v>PRASASTI mean is higher</v>
      </c>
    </row>
    <row r="7" spans="1:14" ht="27.75" customHeight="1">
      <c r="A7" s="88" t="s">
        <v>572</v>
      </c>
      <c r="B7" s="101">
        <f>QC_Summary!C14</f>
        <v>3.0409356725146193</v>
      </c>
      <c r="C7" s="106">
        <f>QC_Summary!D19</f>
        <v>60.818713450292393</v>
      </c>
      <c r="D7" s="89">
        <f>RANK(B7,$B$6:$B$9,0)</f>
        <v>3</v>
      </c>
      <c r="E7" s="101">
        <f>$B$9-B7</f>
        <v>1</v>
      </c>
      <c r="F7" s="90" t="str">
        <f>IF(A7="PRASASTI","Reference approach",IF(E7&gt;0,"PRASASTI mean is higher",IF(E7&lt;0,"PRASASTI mean is lower","Equal mean scores")))</f>
        <v>PRASASTI mean is higher</v>
      </c>
    </row>
    <row r="8" spans="1:14" ht="27.75" customHeight="1">
      <c r="A8" s="88" t="s">
        <v>72</v>
      </c>
      <c r="B8" s="101">
        <f>QC_Summary!D14</f>
        <v>3.2982456140350878</v>
      </c>
      <c r="C8" s="106">
        <f>QC_Summary!D20</f>
        <v>65.964912280701753</v>
      </c>
      <c r="D8" s="89">
        <f>RANK(B8,$B$6:$B$9,0)</f>
        <v>2</v>
      </c>
      <c r="E8" s="101">
        <f>$B$9-B8</f>
        <v>0.74269005847953151</v>
      </c>
      <c r="F8" s="90" t="str">
        <f>IF(A8="PRASASTI","Reference approach",IF(E8&gt;0,"PRASASTI mean is higher",IF(E8&lt;0,"PRASASTI mean is lower","Equal mean scores")))</f>
        <v>PRASASTI mean is higher</v>
      </c>
    </row>
    <row r="9" spans="1:14" ht="15" customHeight="1">
      <c r="A9" s="88" t="s">
        <v>573</v>
      </c>
      <c r="B9" s="101">
        <f>QC_Summary!E14</f>
        <v>4.0409356725146193</v>
      </c>
      <c r="C9" s="106">
        <f>QC_Summary!D21</f>
        <v>80.818713450292393</v>
      </c>
      <c r="D9" s="89">
        <f>RANK(B9,$B$6:$B$9,0)</f>
        <v>1</v>
      </c>
      <c r="E9" s="101">
        <f>$B$9-B9</f>
        <v>0</v>
      </c>
      <c r="F9" s="90" t="str">
        <f>IF(A9="PRASASTI","Reference approach",IF(E9&gt;0,"PRASASTI mean is higher",IF(E9&lt;0,"PRASASTI mean is lower","Equal mean scores")))</f>
        <v>Reference approach</v>
      </c>
    </row>
    <row r="11" spans="1:14" ht="15" customHeight="1">
      <c r="A11" s="1" t="s">
        <v>603</v>
      </c>
      <c r="B11" s="1"/>
      <c r="C11" s="1"/>
      <c r="D11" s="1"/>
      <c r="E11" s="1"/>
      <c r="F11" s="1"/>
      <c r="G11" s="1"/>
      <c r="H11" s="1"/>
      <c r="I11" s="1"/>
      <c r="J11" s="1"/>
      <c r="K11" s="1"/>
      <c r="L11" s="1"/>
      <c r="M11" s="1"/>
      <c r="N11" s="1"/>
    </row>
    <row r="12" spans="1:14" ht="27.75" customHeight="1">
      <c r="A12" s="98" t="s">
        <v>604</v>
      </c>
      <c r="B12" s="98"/>
      <c r="C12" s="98"/>
      <c r="D12" s="98"/>
      <c r="E12" s="98"/>
      <c r="F12" s="98"/>
      <c r="G12" s="98"/>
      <c r="H12" s="98"/>
      <c r="I12" s="98"/>
      <c r="J12" s="98"/>
      <c r="K12" s="98"/>
      <c r="L12" s="98"/>
      <c r="M12" s="98"/>
      <c r="N12" s="98"/>
    </row>
    <row r="13" spans="1:14"/>
    <row r="14" spans="1:14" ht="24">
      <c r="A14" s="91" t="s">
        <v>509</v>
      </c>
      <c r="B14" s="91" t="s">
        <v>587</v>
      </c>
      <c r="C14" s="91" t="s">
        <v>588</v>
      </c>
      <c r="D14" s="91" t="s">
        <v>589</v>
      </c>
      <c r="E14" s="91" t="s">
        <v>590</v>
      </c>
      <c r="F14" s="91" t="s">
        <v>605</v>
      </c>
      <c r="G14" s="91" t="s">
        <v>606</v>
      </c>
      <c r="H14" s="91" t="s">
        <v>607</v>
      </c>
    </row>
    <row r="15" spans="1:14" ht="15" customHeight="1">
      <c r="A15" s="92" t="str">
        <f>'QC Data'!A5</f>
        <v>R01</v>
      </c>
      <c r="B15" s="102">
        <f>'QC Data'!AL5</f>
        <v>2.8888888888888888</v>
      </c>
      <c r="C15" s="102">
        <f>'QC Data'!AM5</f>
        <v>3.1111111111111112</v>
      </c>
      <c r="D15" s="102">
        <f>'QC Data'!AN5</f>
        <v>3.2222222222222223</v>
      </c>
      <c r="E15" s="102">
        <f>'QC Data'!AO5</f>
        <v>3.6666666666666665</v>
      </c>
      <c r="F15" s="102">
        <f t="shared" ref="F15:F33" si="0">E15-B15</f>
        <v>0.77777777777777768</v>
      </c>
      <c r="G15" s="102">
        <f t="shared" ref="G15:G33" si="1">E15-C15</f>
        <v>0.55555555555555536</v>
      </c>
      <c r="H15" s="102">
        <f t="shared" ref="H15:H33" si="2">E15-D15</f>
        <v>0.4444444444444442</v>
      </c>
    </row>
    <row r="16" spans="1:14" ht="15" customHeight="1">
      <c r="A16" s="92" t="str">
        <f>'QC Data'!A6</f>
        <v>R02</v>
      </c>
      <c r="B16" s="102">
        <f>'QC Data'!AL6</f>
        <v>2.1111111111111112</v>
      </c>
      <c r="C16" s="102">
        <f>'QC Data'!AM6</f>
        <v>3.2222222222222223</v>
      </c>
      <c r="D16" s="102">
        <f>'QC Data'!AN6</f>
        <v>3.5555555555555554</v>
      </c>
      <c r="E16" s="102">
        <f>'QC Data'!AO6</f>
        <v>4.1111111111111107</v>
      </c>
      <c r="F16" s="102">
        <f t="shared" si="0"/>
        <v>1.9999999999999996</v>
      </c>
      <c r="G16" s="102">
        <f t="shared" si="1"/>
        <v>0.8888888888888884</v>
      </c>
      <c r="H16" s="102">
        <f t="shared" si="2"/>
        <v>0.55555555555555536</v>
      </c>
    </row>
    <row r="17" spans="1:8" ht="15" customHeight="1">
      <c r="A17" s="92" t="str">
        <f>'QC Data'!A7</f>
        <v>R03</v>
      </c>
      <c r="B17" s="102">
        <f>'QC Data'!AL7</f>
        <v>2.3333333333333335</v>
      </c>
      <c r="C17" s="102">
        <f>'QC Data'!AM7</f>
        <v>2.6666666666666665</v>
      </c>
      <c r="D17" s="102">
        <f>'QC Data'!AN7</f>
        <v>3.7777777777777777</v>
      </c>
      <c r="E17" s="102">
        <f>'QC Data'!AO7</f>
        <v>4.2222222222222223</v>
      </c>
      <c r="F17" s="102">
        <f t="shared" si="0"/>
        <v>1.8888888888888888</v>
      </c>
      <c r="G17" s="102">
        <f t="shared" si="1"/>
        <v>1.5555555555555558</v>
      </c>
      <c r="H17" s="102">
        <f t="shared" si="2"/>
        <v>0.44444444444444464</v>
      </c>
    </row>
    <row r="18" spans="1:8" ht="15" customHeight="1">
      <c r="A18" s="92" t="str">
        <f>'QC Data'!A8</f>
        <v>R04</v>
      </c>
      <c r="B18" s="102">
        <f>'QC Data'!AL8</f>
        <v>2.5555555555555554</v>
      </c>
      <c r="C18" s="102">
        <f>'QC Data'!AM8</f>
        <v>3</v>
      </c>
      <c r="D18" s="102">
        <f>'QC Data'!AN8</f>
        <v>3.4444444444444446</v>
      </c>
      <c r="E18" s="102">
        <f>'QC Data'!AO8</f>
        <v>4</v>
      </c>
      <c r="F18" s="102">
        <f t="shared" si="0"/>
        <v>1.4444444444444446</v>
      </c>
      <c r="G18" s="102">
        <f t="shared" si="1"/>
        <v>1</v>
      </c>
      <c r="H18" s="102">
        <f t="shared" si="2"/>
        <v>0.55555555555555536</v>
      </c>
    </row>
    <row r="19" spans="1:8" ht="15" customHeight="1">
      <c r="A19" s="92" t="str">
        <f>'QC Data'!A9</f>
        <v>R05</v>
      </c>
      <c r="B19" s="102">
        <f>'QC Data'!AL9</f>
        <v>2.8888888888888888</v>
      </c>
      <c r="C19" s="102">
        <f>'QC Data'!AM9</f>
        <v>3.4444444444444446</v>
      </c>
      <c r="D19" s="102">
        <f>'QC Data'!AN9</f>
        <v>3</v>
      </c>
      <c r="E19" s="102">
        <f>'QC Data'!AO9</f>
        <v>4.4444444444444446</v>
      </c>
      <c r="F19" s="102">
        <f t="shared" si="0"/>
        <v>1.5555555555555558</v>
      </c>
      <c r="G19" s="102">
        <f t="shared" si="1"/>
        <v>1</v>
      </c>
      <c r="H19" s="102">
        <f t="shared" si="2"/>
        <v>1.4444444444444446</v>
      </c>
    </row>
    <row r="20" spans="1:8" ht="15" customHeight="1">
      <c r="A20" s="92" t="str">
        <f>'QC Data'!A10</f>
        <v>R06</v>
      </c>
      <c r="B20" s="102">
        <f>'QC Data'!AL10</f>
        <v>3</v>
      </c>
      <c r="C20" s="102">
        <f>'QC Data'!AM10</f>
        <v>3.4444444444444446</v>
      </c>
      <c r="D20" s="102">
        <f>'QC Data'!AN10</f>
        <v>3.3333333333333335</v>
      </c>
      <c r="E20" s="102">
        <f>'QC Data'!AO10</f>
        <v>4</v>
      </c>
      <c r="F20" s="102">
        <f t="shared" si="0"/>
        <v>1</v>
      </c>
      <c r="G20" s="102">
        <f t="shared" si="1"/>
        <v>0.55555555555555536</v>
      </c>
      <c r="H20" s="102">
        <f t="shared" si="2"/>
        <v>0.66666666666666652</v>
      </c>
    </row>
    <row r="21" spans="1:8" ht="15" customHeight="1">
      <c r="A21" s="92" t="str">
        <f>'QC Data'!A11</f>
        <v>R07</v>
      </c>
      <c r="B21" s="102">
        <f>'QC Data'!AL11</f>
        <v>3</v>
      </c>
      <c r="C21" s="102">
        <f>'QC Data'!AM11</f>
        <v>3.2222222222222223</v>
      </c>
      <c r="D21" s="102">
        <f>'QC Data'!AN11</f>
        <v>3.4444444444444446</v>
      </c>
      <c r="E21" s="102">
        <f>'QC Data'!AO11</f>
        <v>3.8888888888888888</v>
      </c>
      <c r="F21" s="102">
        <f t="shared" si="0"/>
        <v>0.88888888888888884</v>
      </c>
      <c r="G21" s="102">
        <f t="shared" si="1"/>
        <v>0.66666666666666652</v>
      </c>
      <c r="H21" s="102">
        <f t="shared" si="2"/>
        <v>0.4444444444444442</v>
      </c>
    </row>
    <row r="22" spans="1:8" ht="15" customHeight="1">
      <c r="A22" s="92" t="str">
        <f>'QC Data'!A12</f>
        <v>R08</v>
      </c>
      <c r="B22" s="102">
        <f>'QC Data'!AL12</f>
        <v>2.4444444444444446</v>
      </c>
      <c r="C22" s="102">
        <f>'QC Data'!AM12</f>
        <v>3</v>
      </c>
      <c r="D22" s="102">
        <f>'QC Data'!AN12</f>
        <v>3.2222222222222223</v>
      </c>
      <c r="E22" s="102">
        <f>'QC Data'!AO12</f>
        <v>3.7777777777777777</v>
      </c>
      <c r="F22" s="102">
        <f t="shared" si="0"/>
        <v>1.333333333333333</v>
      </c>
      <c r="G22" s="102">
        <f t="shared" si="1"/>
        <v>0.77777777777777768</v>
      </c>
      <c r="H22" s="102">
        <f t="shared" si="2"/>
        <v>0.55555555555555536</v>
      </c>
    </row>
    <row r="23" spans="1:8" ht="15" customHeight="1">
      <c r="A23" s="92" t="str">
        <f>'QC Data'!A13</f>
        <v>R09</v>
      </c>
      <c r="B23" s="102">
        <f>'QC Data'!AL13</f>
        <v>2.7777777777777777</v>
      </c>
      <c r="C23" s="102">
        <f>'QC Data'!AM13</f>
        <v>2.6666666666666665</v>
      </c>
      <c r="D23" s="102">
        <f>'QC Data'!AN13</f>
        <v>3.3333333333333335</v>
      </c>
      <c r="E23" s="102">
        <f>'QC Data'!AO13</f>
        <v>3.8888888888888888</v>
      </c>
      <c r="F23" s="102">
        <f t="shared" si="0"/>
        <v>1.1111111111111112</v>
      </c>
      <c r="G23" s="102">
        <f t="shared" si="1"/>
        <v>1.2222222222222223</v>
      </c>
      <c r="H23" s="102">
        <f t="shared" si="2"/>
        <v>0.55555555555555536</v>
      </c>
    </row>
    <row r="24" spans="1:8" ht="15" customHeight="1">
      <c r="A24" s="92" t="str">
        <f>'QC Data'!A14</f>
        <v>R10</v>
      </c>
      <c r="B24" s="102">
        <f>'QC Data'!AL14</f>
        <v>2.7777777777777777</v>
      </c>
      <c r="C24" s="102">
        <f>'QC Data'!AM14</f>
        <v>3.1111111111111112</v>
      </c>
      <c r="D24" s="102">
        <f>'QC Data'!AN14</f>
        <v>2.8888888888888888</v>
      </c>
      <c r="E24" s="102">
        <f>'QC Data'!AO14</f>
        <v>3.6666666666666665</v>
      </c>
      <c r="F24" s="102">
        <f t="shared" si="0"/>
        <v>0.88888888888888884</v>
      </c>
      <c r="G24" s="102">
        <f t="shared" si="1"/>
        <v>0.55555555555555536</v>
      </c>
      <c r="H24" s="102">
        <f t="shared" si="2"/>
        <v>0.77777777777777768</v>
      </c>
    </row>
    <row r="25" spans="1:8" ht="15" customHeight="1">
      <c r="A25" s="92" t="str">
        <f>'QC Data'!A15</f>
        <v>R11</v>
      </c>
      <c r="B25" s="102">
        <f>'QC Data'!AL15</f>
        <v>2.5555555555555554</v>
      </c>
      <c r="C25" s="102">
        <f>'QC Data'!AM15</f>
        <v>3</v>
      </c>
      <c r="D25" s="102">
        <f>'QC Data'!AN15</f>
        <v>3.2222222222222223</v>
      </c>
      <c r="E25" s="102">
        <f>'QC Data'!AO15</f>
        <v>4.333333333333333</v>
      </c>
      <c r="F25" s="102">
        <f t="shared" si="0"/>
        <v>1.7777777777777777</v>
      </c>
      <c r="G25" s="102">
        <f t="shared" si="1"/>
        <v>1.333333333333333</v>
      </c>
      <c r="H25" s="102">
        <f t="shared" si="2"/>
        <v>1.1111111111111107</v>
      </c>
    </row>
    <row r="26" spans="1:8" ht="15" customHeight="1">
      <c r="A26" s="92" t="str">
        <f>'QC Data'!A16</f>
        <v>R12</v>
      </c>
      <c r="B26" s="102">
        <f>'QC Data'!AL16</f>
        <v>2.7777777777777777</v>
      </c>
      <c r="C26" s="102">
        <f>'QC Data'!AM16</f>
        <v>2.7777777777777777</v>
      </c>
      <c r="D26" s="102">
        <f>'QC Data'!AN16</f>
        <v>3.2222222222222223</v>
      </c>
      <c r="E26" s="102">
        <f>'QC Data'!AO16</f>
        <v>4</v>
      </c>
      <c r="F26" s="102">
        <f t="shared" si="0"/>
        <v>1.2222222222222223</v>
      </c>
      <c r="G26" s="102">
        <f t="shared" si="1"/>
        <v>1.2222222222222223</v>
      </c>
      <c r="H26" s="102">
        <f t="shared" si="2"/>
        <v>0.77777777777777768</v>
      </c>
    </row>
    <row r="27" spans="1:8" ht="15" customHeight="1">
      <c r="A27" s="92" t="str">
        <f>'QC Data'!A17</f>
        <v>R13</v>
      </c>
      <c r="B27" s="102">
        <f>'QC Data'!AL17</f>
        <v>2.3333333333333335</v>
      </c>
      <c r="C27" s="102">
        <f>'QC Data'!AM17</f>
        <v>3.1111111111111112</v>
      </c>
      <c r="D27" s="102">
        <f>'QC Data'!AN17</f>
        <v>3.6666666666666665</v>
      </c>
      <c r="E27" s="102">
        <f>'QC Data'!AO17</f>
        <v>4.2222222222222223</v>
      </c>
      <c r="F27" s="102">
        <f t="shared" si="0"/>
        <v>1.8888888888888888</v>
      </c>
      <c r="G27" s="102">
        <f t="shared" si="1"/>
        <v>1.1111111111111112</v>
      </c>
      <c r="H27" s="102">
        <f t="shared" si="2"/>
        <v>0.5555555555555558</v>
      </c>
    </row>
    <row r="28" spans="1:8" ht="15" customHeight="1">
      <c r="A28" s="92" t="str">
        <f>'QC Data'!A18</f>
        <v>R14</v>
      </c>
      <c r="B28" s="102">
        <f>'QC Data'!AL18</f>
        <v>3</v>
      </c>
      <c r="C28" s="102">
        <f>'QC Data'!AM18</f>
        <v>2.8888888888888888</v>
      </c>
      <c r="D28" s="102">
        <f>'QC Data'!AN18</f>
        <v>3.3333333333333335</v>
      </c>
      <c r="E28" s="102">
        <f>'QC Data'!AO18</f>
        <v>3.8888888888888888</v>
      </c>
      <c r="F28" s="102">
        <f t="shared" si="0"/>
        <v>0.88888888888888884</v>
      </c>
      <c r="G28" s="102">
        <f t="shared" si="1"/>
        <v>1</v>
      </c>
      <c r="H28" s="102">
        <f t="shared" si="2"/>
        <v>0.55555555555555536</v>
      </c>
    </row>
    <row r="29" spans="1:8" ht="15" customHeight="1">
      <c r="A29" s="92" t="str">
        <f>'QC Data'!A19</f>
        <v>R15</v>
      </c>
      <c r="B29" s="102">
        <f>'QC Data'!AL19</f>
        <v>3</v>
      </c>
      <c r="C29" s="102">
        <f>'QC Data'!AM19</f>
        <v>3.3333333333333335</v>
      </c>
      <c r="D29" s="102">
        <f>'QC Data'!AN19</f>
        <v>3.5555555555555554</v>
      </c>
      <c r="E29" s="102">
        <f>'QC Data'!AO19</f>
        <v>4</v>
      </c>
      <c r="F29" s="102">
        <f t="shared" si="0"/>
        <v>1</v>
      </c>
      <c r="G29" s="102">
        <f t="shared" si="1"/>
        <v>0.66666666666666652</v>
      </c>
      <c r="H29" s="102">
        <f t="shared" si="2"/>
        <v>0.44444444444444464</v>
      </c>
    </row>
    <row r="30" spans="1:8" ht="15" customHeight="1">
      <c r="A30" s="92" t="str">
        <f>'QC Data'!A20</f>
        <v>R16</v>
      </c>
      <c r="B30" s="102">
        <f>'QC Data'!AL20</f>
        <v>2.7777777777777777</v>
      </c>
      <c r="C30" s="102">
        <f>'QC Data'!AM20</f>
        <v>3.1111111111111112</v>
      </c>
      <c r="D30" s="102">
        <f>'QC Data'!AN20</f>
        <v>3</v>
      </c>
      <c r="E30" s="102">
        <f>'QC Data'!AO20</f>
        <v>4.2222222222222223</v>
      </c>
      <c r="F30" s="102">
        <f t="shared" si="0"/>
        <v>1.4444444444444446</v>
      </c>
      <c r="G30" s="102">
        <f t="shared" si="1"/>
        <v>1.1111111111111112</v>
      </c>
      <c r="H30" s="102">
        <f t="shared" si="2"/>
        <v>1.2222222222222223</v>
      </c>
    </row>
    <row r="31" spans="1:8" ht="15" customHeight="1">
      <c r="A31" s="92" t="str">
        <f>'QC Data'!A21</f>
        <v>R17</v>
      </c>
      <c r="B31" s="102">
        <f>'QC Data'!AL21</f>
        <v>2.5555555555555554</v>
      </c>
      <c r="C31" s="102">
        <f>'QC Data'!AM21</f>
        <v>2.8888888888888888</v>
      </c>
      <c r="D31" s="102">
        <f>'QC Data'!AN21</f>
        <v>3.2222222222222223</v>
      </c>
      <c r="E31" s="102">
        <f>'QC Data'!AO21</f>
        <v>4</v>
      </c>
      <c r="F31" s="102">
        <f t="shared" si="0"/>
        <v>1.4444444444444446</v>
      </c>
      <c r="G31" s="102">
        <f t="shared" si="1"/>
        <v>1.1111111111111112</v>
      </c>
      <c r="H31" s="102">
        <f t="shared" si="2"/>
        <v>0.77777777777777768</v>
      </c>
    </row>
    <row r="32" spans="1:8" ht="15" customHeight="1">
      <c r="A32" s="92" t="str">
        <f>'QC Data'!A22</f>
        <v>R18</v>
      </c>
      <c r="B32" s="102">
        <f>'QC Data'!AL22</f>
        <v>2.6666666666666665</v>
      </c>
      <c r="C32" s="102">
        <f>'QC Data'!AM22</f>
        <v>3.1111111111111112</v>
      </c>
      <c r="D32" s="102">
        <f>'QC Data'!AN22</f>
        <v>3.2222222222222223</v>
      </c>
      <c r="E32" s="102">
        <f>'QC Data'!AO22</f>
        <v>4.1111111111111107</v>
      </c>
      <c r="F32" s="102">
        <f t="shared" si="0"/>
        <v>1.4444444444444442</v>
      </c>
      <c r="G32" s="102">
        <f t="shared" si="1"/>
        <v>0.99999999999999956</v>
      </c>
      <c r="H32" s="102">
        <f t="shared" si="2"/>
        <v>0.8888888888888884</v>
      </c>
    </row>
    <row r="33" spans="1:14" ht="15" customHeight="1">
      <c r="A33" s="92" t="str">
        <f>'QC Data'!A23</f>
        <v>R19</v>
      </c>
      <c r="B33" s="102">
        <f>'QC Data'!AL23</f>
        <v>2.8888888888888888</v>
      </c>
      <c r="C33" s="102">
        <f>'QC Data'!AM23</f>
        <v>2.6666666666666665</v>
      </c>
      <c r="D33" s="102">
        <f>'QC Data'!AN23</f>
        <v>3</v>
      </c>
      <c r="E33" s="102">
        <f>'QC Data'!AO23</f>
        <v>4.333333333333333</v>
      </c>
      <c r="F33" s="102">
        <f t="shared" si="0"/>
        <v>1.4444444444444442</v>
      </c>
      <c r="G33" s="102">
        <f t="shared" si="1"/>
        <v>1.6666666666666665</v>
      </c>
      <c r="H33" s="102">
        <f t="shared" si="2"/>
        <v>1.333333333333333</v>
      </c>
    </row>
    <row r="35" spans="1:14" ht="15" customHeight="1">
      <c r="A35" s="1" t="s">
        <v>608</v>
      </c>
      <c r="B35" s="1"/>
      <c r="C35" s="1"/>
      <c r="D35" s="1"/>
      <c r="E35" s="1"/>
      <c r="F35" s="1"/>
      <c r="G35" s="1"/>
      <c r="H35" s="1"/>
      <c r="I35" s="1"/>
      <c r="J35" s="1"/>
      <c r="K35" s="1"/>
      <c r="L35" s="1"/>
      <c r="M35" s="1"/>
      <c r="N35" s="1"/>
    </row>
    <row r="36" spans="1:14" ht="30" customHeight="1">
      <c r="A36" s="98" t="s">
        <v>609</v>
      </c>
      <c r="B36" s="98"/>
      <c r="C36" s="98"/>
      <c r="D36" s="98"/>
      <c r="E36" s="98"/>
      <c r="F36" s="98"/>
      <c r="G36" s="98"/>
      <c r="H36" s="98"/>
      <c r="I36" s="98"/>
      <c r="J36" s="98"/>
      <c r="K36" s="98"/>
      <c r="L36" s="98"/>
      <c r="M36" s="98"/>
      <c r="N36" s="98"/>
    </row>
    <row r="38" spans="1:14" ht="60" customHeight="1">
      <c r="A38" s="91" t="s">
        <v>610</v>
      </c>
      <c r="B38" s="91" t="s">
        <v>611</v>
      </c>
      <c r="C38" s="91" t="s">
        <v>612</v>
      </c>
      <c r="D38" s="91" t="s">
        <v>613</v>
      </c>
      <c r="E38" s="91" t="s">
        <v>614</v>
      </c>
      <c r="F38" s="91" t="s">
        <v>615</v>
      </c>
      <c r="G38" s="91" t="s">
        <v>616</v>
      </c>
      <c r="H38" s="91" t="s">
        <v>617</v>
      </c>
      <c r="I38" s="91" t="s">
        <v>618</v>
      </c>
      <c r="J38" s="91" t="s">
        <v>619</v>
      </c>
      <c r="K38" s="91" t="s">
        <v>620</v>
      </c>
      <c r="L38" s="91" t="s">
        <v>621</v>
      </c>
      <c r="M38" s="91" t="s">
        <v>622</v>
      </c>
      <c r="N38" s="91" t="s">
        <v>623</v>
      </c>
    </row>
    <row r="39" spans="1:14" ht="15" customHeight="1">
      <c r="A39" s="93" t="s">
        <v>624</v>
      </c>
      <c r="B39" s="94">
        <f>COUNT($F$15:$F$33)</f>
        <v>19</v>
      </c>
      <c r="C39" s="103">
        <f>AVERAGE($B$15:$B$33)</f>
        <v>2.7017543859649122</v>
      </c>
      <c r="D39" s="103">
        <f>AVERAGE($E$15:$E$33)</f>
        <v>4.0409356725146193</v>
      </c>
      <c r="E39" s="103">
        <f>AVERAGE($F$15:$F$33)</f>
        <v>1.3391812865497075</v>
      </c>
      <c r="F39" s="103">
        <f>STDEV($F$15:$F$33)</f>
        <v>0.37674820525827507</v>
      </c>
      <c r="G39" s="103">
        <f>F39/SQRT(B39)</f>
        <v>8.6431965993744198E-2</v>
      </c>
      <c r="H39" s="103">
        <f>E39/G39</f>
        <v>15.494050970061647</v>
      </c>
      <c r="I39" s="103">
        <f>B39-1</f>
        <v>18</v>
      </c>
      <c r="J39" s="103">
        <f>TDIST(ABS(H39),I39,2)</f>
        <v>7.4858585332267483E-12</v>
      </c>
      <c r="K39" s="103">
        <f>E39-TINV(0.05,I39)*G39</f>
        <v>1.1575944642120863</v>
      </c>
      <c r="L39" s="103">
        <f>E39+TINV(0.05,I39)*G39</f>
        <v>1.5207681088873286</v>
      </c>
      <c r="M39" s="104">
        <f>MIN(1,J39*3)</f>
        <v>2.2457575599680245E-11</v>
      </c>
      <c r="N39" s="95" t="str">
        <f>IF(M39&lt;0.05/3,IF(E39&gt;0,"PRASASTI significantly higher (Bonferroni-adjusted)","Significant difference; direction is not higher"),"No statistically significant difference after Bonferroni adjustment")</f>
        <v>PRASASTI significantly higher (Bonferroni-adjusted)</v>
      </c>
    </row>
    <row r="40" spans="1:14" ht="15" customHeight="1">
      <c r="A40" s="93" t="s">
        <v>625</v>
      </c>
      <c r="B40" s="94">
        <f>COUNT($G$15:$G$33)</f>
        <v>19</v>
      </c>
      <c r="C40" s="103">
        <f>AVERAGE($C$15:$C$33)</f>
        <v>3.0409356725146197</v>
      </c>
      <c r="D40" s="103">
        <f>AVERAGE($E$15:$E$33)</f>
        <v>4.0409356725146193</v>
      </c>
      <c r="E40" s="103">
        <f>AVERAGE($G$15:$G$33)</f>
        <v>1</v>
      </c>
      <c r="F40" s="103">
        <f>STDEV($G$15:$G$33)</f>
        <v>0.32288140322523518</v>
      </c>
      <c r="G40" s="103">
        <f>F40/SQRT(B40)</f>
        <v>7.4074074074074084E-2</v>
      </c>
      <c r="H40" s="103">
        <f>E40/G40</f>
        <v>13.499999999999998</v>
      </c>
      <c r="I40" s="103">
        <f>B40-1</f>
        <v>18</v>
      </c>
      <c r="J40" s="103">
        <f>TDIST(ABS(H40),I40,2)</f>
        <v>7.4114949561083289E-11</v>
      </c>
      <c r="K40" s="103">
        <f>E40-TINV(0.05,I40)*G40</f>
        <v>0.84437614516733051</v>
      </c>
      <c r="L40" s="103">
        <f>E40+TINV(0.05,I40)*G40</f>
        <v>1.1556238548326694</v>
      </c>
      <c r="M40" s="104">
        <f>MIN(1,J40*3)</f>
        <v>2.2234484868324988E-10</v>
      </c>
      <c r="N40" s="95" t="str">
        <f>IF(M40&lt;0.05/3,IF(E40&gt;0,"PRASASTI significantly higher (Bonferroni-adjusted)","Significant difference; direction is not higher"),"No statistically significant difference after Bonferroni adjustment")</f>
        <v>PRASASTI significantly higher (Bonferroni-adjusted)</v>
      </c>
    </row>
    <row r="41" spans="1:14" ht="15" customHeight="1">
      <c r="A41" s="93" t="s">
        <v>626</v>
      </c>
      <c r="B41" s="94">
        <f>COUNT($H$15:$H$33)</f>
        <v>19</v>
      </c>
      <c r="C41" s="103">
        <f>AVERAGE($D$15:$D$33)</f>
        <v>3.2982456140350878</v>
      </c>
      <c r="D41" s="103">
        <f>AVERAGE($E$15:$E$33)</f>
        <v>4.0409356725146193</v>
      </c>
      <c r="E41" s="103">
        <f>AVERAGE($H$15:$H$33)</f>
        <v>0.74269005847953218</v>
      </c>
      <c r="F41" s="103">
        <f>STDEV($H$15:$H$33)</f>
        <v>0.31655863779801791</v>
      </c>
      <c r="G41" s="103">
        <f>F41/SQRT(B41)</f>
        <v>7.2623532203497626E-2</v>
      </c>
      <c r="H41" s="103">
        <f>E41/G41</f>
        <v>10.22657582116012</v>
      </c>
      <c r="I41" s="103">
        <f>B41-1</f>
        <v>18</v>
      </c>
      <c r="J41" s="103">
        <f>TDIST(ABS(H41),I41,2)</f>
        <v>6.3194104289397048E-9</v>
      </c>
      <c r="K41" s="103">
        <f>E41-TINV(0.05,I41)*G41</f>
        <v>0.59011367903304923</v>
      </c>
      <c r="L41" s="103">
        <f>E41+TINV(0.05,I41)*G41</f>
        <v>0.89526643792601512</v>
      </c>
      <c r="M41" s="104">
        <f>MIN(1,J41*3)</f>
        <v>1.8958231286819115E-8</v>
      </c>
      <c r="N41" s="95" t="str">
        <f>IF(M41&lt;0.05/3,IF(E41&gt;0,"PRASASTI significantly higher (Bonferroni-adjusted)","Significant difference; direction is not higher"),"No statistically significant difference after Bonferroni adjustment")</f>
        <v>PRASASTI significantly higher (Bonferroni-adjusted)</v>
      </c>
    </row>
    <row r="44" spans="1:14" ht="15" customHeight="1">
      <c r="A44" s="1" t="s">
        <v>627</v>
      </c>
      <c r="B44" s="1"/>
      <c r="C44" s="1"/>
      <c r="D44" s="1"/>
      <c r="E44" s="1"/>
      <c r="F44" s="1"/>
      <c r="G44" s="1"/>
      <c r="H44" s="1"/>
      <c r="I44" s="1"/>
      <c r="J44" s="1"/>
      <c r="K44" s="1"/>
      <c r="L44" s="1"/>
      <c r="M44" s="1"/>
      <c r="N44" s="1"/>
    </row>
    <row r="46" spans="1:14" ht="34.5" customHeight="1">
      <c r="A46" s="96" t="s">
        <v>628</v>
      </c>
      <c r="B46" s="97" t="s">
        <v>629</v>
      </c>
      <c r="C46" s="99" t="s">
        <v>630</v>
      </c>
      <c r="D46" s="99"/>
      <c r="E46" s="99"/>
      <c r="F46" s="99"/>
      <c r="G46" s="99"/>
      <c r="H46" s="99"/>
      <c r="I46" s="99"/>
      <c r="J46" s="99"/>
      <c r="K46" s="99"/>
      <c r="L46" s="99"/>
      <c r="M46" s="99"/>
      <c r="N46" s="99"/>
    </row>
    <row r="47" spans="1:14" ht="34.5" customHeight="1">
      <c r="A47" s="96" t="s">
        <v>631</v>
      </c>
      <c r="B47" s="97" t="s">
        <v>632</v>
      </c>
      <c r="C47" s="99" t="s">
        <v>633</v>
      </c>
      <c r="D47" s="99"/>
      <c r="E47" s="99"/>
      <c r="F47" s="99"/>
      <c r="G47" s="99"/>
      <c r="H47" s="99"/>
      <c r="I47" s="99"/>
      <c r="J47" s="99"/>
      <c r="K47" s="99"/>
      <c r="L47" s="99"/>
      <c r="M47" s="99"/>
      <c r="N47" s="99"/>
    </row>
    <row r="48" spans="1:14" ht="34.5" customHeight="1">
      <c r="A48" s="96" t="s">
        <v>634</v>
      </c>
      <c r="B48" s="97" t="s">
        <v>635</v>
      </c>
      <c r="C48" s="99" t="s">
        <v>636</v>
      </c>
      <c r="D48" s="99"/>
      <c r="E48" s="99"/>
      <c r="F48" s="99"/>
      <c r="G48" s="99"/>
      <c r="H48" s="99"/>
      <c r="I48" s="99"/>
      <c r="J48" s="99"/>
      <c r="K48" s="99"/>
      <c r="L48" s="99"/>
      <c r="M48" s="99"/>
      <c r="N48" s="99"/>
    </row>
    <row r="49" spans="1:14" ht="34.5" customHeight="1">
      <c r="A49" s="96" t="s">
        <v>616</v>
      </c>
      <c r="B49" s="97" t="s">
        <v>637</v>
      </c>
      <c r="C49" s="99" t="s">
        <v>638</v>
      </c>
      <c r="D49" s="99"/>
      <c r="E49" s="99"/>
      <c r="F49" s="99"/>
      <c r="G49" s="99"/>
      <c r="H49" s="99"/>
      <c r="I49" s="99"/>
      <c r="J49" s="99"/>
      <c r="K49" s="99"/>
      <c r="L49" s="99"/>
      <c r="M49" s="99"/>
      <c r="N49" s="99"/>
    </row>
    <row r="50" spans="1:14" ht="34.5" customHeight="1">
      <c r="A50" s="96" t="s">
        <v>617</v>
      </c>
      <c r="B50" s="97" t="s">
        <v>639</v>
      </c>
      <c r="C50" s="99" t="s">
        <v>640</v>
      </c>
      <c r="D50" s="99"/>
      <c r="E50" s="99"/>
      <c r="F50" s="99"/>
      <c r="G50" s="99"/>
      <c r="H50" s="99"/>
      <c r="I50" s="99"/>
      <c r="J50" s="99"/>
      <c r="K50" s="99"/>
      <c r="L50" s="99"/>
      <c r="M50" s="99"/>
      <c r="N50" s="99"/>
    </row>
    <row r="51" spans="1:14" ht="34.5" customHeight="1">
      <c r="A51" s="96" t="s">
        <v>641</v>
      </c>
      <c r="B51" s="97" t="s">
        <v>642</v>
      </c>
      <c r="C51" s="99" t="s">
        <v>643</v>
      </c>
      <c r="D51" s="99"/>
      <c r="E51" s="99"/>
      <c r="F51" s="99"/>
      <c r="G51" s="99"/>
      <c r="H51" s="99"/>
      <c r="I51" s="99"/>
      <c r="J51" s="99"/>
      <c r="K51" s="99"/>
      <c r="L51" s="99"/>
      <c r="M51" s="99"/>
      <c r="N51" s="99"/>
    </row>
    <row r="52" spans="1:14" ht="34.5" customHeight="1">
      <c r="A52" s="96" t="s">
        <v>619</v>
      </c>
      <c r="B52" s="97" t="s">
        <v>644</v>
      </c>
      <c r="C52" s="99" t="s">
        <v>645</v>
      </c>
      <c r="D52" s="99"/>
      <c r="E52" s="99"/>
      <c r="F52" s="99"/>
      <c r="G52" s="99"/>
      <c r="H52" s="99"/>
      <c r="I52" s="99"/>
      <c r="J52" s="99"/>
      <c r="K52" s="99"/>
      <c r="L52" s="99"/>
      <c r="M52" s="99"/>
      <c r="N52" s="99"/>
    </row>
    <row r="53" spans="1:14" ht="34.5" customHeight="1">
      <c r="A53" s="96" t="s">
        <v>646</v>
      </c>
      <c r="B53" s="97" t="s">
        <v>647</v>
      </c>
      <c r="C53" s="99" t="s">
        <v>648</v>
      </c>
      <c r="D53" s="99"/>
      <c r="E53" s="99"/>
      <c r="F53" s="99"/>
      <c r="G53" s="99"/>
      <c r="H53" s="99"/>
      <c r="I53" s="99"/>
      <c r="J53" s="99"/>
      <c r="K53" s="99"/>
      <c r="L53" s="99"/>
      <c r="M53" s="99"/>
      <c r="N53" s="99"/>
    </row>
    <row r="54" spans="1:14" ht="34.5" customHeight="1">
      <c r="A54" s="96" t="s">
        <v>649</v>
      </c>
      <c r="B54" s="97" t="s">
        <v>650</v>
      </c>
      <c r="C54" s="99" t="s">
        <v>651</v>
      </c>
      <c r="D54" s="99"/>
      <c r="E54" s="99"/>
      <c r="F54" s="99"/>
      <c r="G54" s="99"/>
      <c r="H54" s="99"/>
      <c r="I54" s="99"/>
      <c r="J54" s="99"/>
      <c r="K54" s="99"/>
      <c r="L54" s="99"/>
      <c r="M54" s="99"/>
      <c r="N54" s="99"/>
    </row>
    <row r="55" spans="1:14" ht="45" customHeight="1">
      <c r="A55" s="96" t="s">
        <v>652</v>
      </c>
      <c r="B55" s="97" t="s">
        <v>653</v>
      </c>
      <c r="C55" s="99" t="s">
        <v>654</v>
      </c>
      <c r="D55" s="99"/>
      <c r="E55" s="99"/>
      <c r="F55" s="99"/>
      <c r="G55" s="99"/>
      <c r="H55" s="99"/>
      <c r="I55" s="99"/>
      <c r="J55" s="99"/>
      <c r="K55" s="99"/>
      <c r="L55" s="99"/>
      <c r="M55" s="99"/>
      <c r="N55" s="99"/>
    </row>
    <row r="56" spans="1:14" ht="45" customHeight="1">
      <c r="A56" s="96" t="s">
        <v>655</v>
      </c>
      <c r="B56" s="97" t="s">
        <v>656</v>
      </c>
      <c r="C56" s="99" t="s">
        <v>657</v>
      </c>
      <c r="D56" s="99"/>
      <c r="E56" s="99"/>
      <c r="F56" s="99"/>
      <c r="G56" s="99"/>
      <c r="H56" s="99"/>
      <c r="I56" s="99"/>
      <c r="J56" s="99"/>
      <c r="K56" s="99"/>
      <c r="L56" s="99"/>
      <c r="M56" s="99"/>
      <c r="N56" s="99"/>
    </row>
    <row r="59" spans="1:14" ht="15" customHeight="1">
      <c r="A59" s="1" t="s">
        <v>658</v>
      </c>
      <c r="B59" s="1"/>
      <c r="C59" s="1"/>
      <c r="D59" s="1"/>
      <c r="E59" s="1"/>
      <c r="F59" s="1"/>
      <c r="G59" s="1"/>
      <c r="H59" s="1"/>
      <c r="I59" s="1"/>
      <c r="J59" s="1"/>
      <c r="K59" s="1"/>
      <c r="L59" s="1"/>
      <c r="M59" s="1"/>
      <c r="N59" s="1"/>
    </row>
    <row r="60" spans="1:14" ht="37.5" customHeight="1">
      <c r="A60" s="100" t="s">
        <v>659</v>
      </c>
      <c r="B60" s="100"/>
      <c r="C60" s="100"/>
      <c r="D60" s="100"/>
      <c r="E60" s="100"/>
      <c r="F60" s="100"/>
      <c r="G60" s="100"/>
      <c r="H60" s="100"/>
      <c r="I60" s="100"/>
      <c r="J60" s="100"/>
      <c r="K60" s="100"/>
      <c r="L60" s="100"/>
      <c r="M60" s="100"/>
      <c r="N60" s="100"/>
    </row>
    <row r="61" spans="1:14" ht="21.75" customHeight="1">
      <c r="A61" s="100"/>
      <c r="B61" s="100"/>
      <c r="C61" s="100"/>
      <c r="D61" s="100"/>
      <c r="E61" s="100"/>
      <c r="F61" s="100"/>
      <c r="G61" s="100"/>
      <c r="H61" s="100"/>
      <c r="I61" s="100"/>
      <c r="J61" s="100"/>
      <c r="K61" s="100"/>
      <c r="L61" s="100"/>
      <c r="M61" s="100"/>
      <c r="N61" s="100"/>
    </row>
  </sheetData>
  <autoFilter ref="A14:H33" xr:uid="{00000000-0009-0000-0000-00000B000000}"/>
  <mergeCells count="21">
    <mergeCell ref="A60:N61"/>
    <mergeCell ref="C53:N53"/>
    <mergeCell ref="C54:N54"/>
    <mergeCell ref="C55:N55"/>
    <mergeCell ref="C56:N56"/>
    <mergeCell ref="A59:N59"/>
    <mergeCell ref="C48:N48"/>
    <mergeCell ref="C49:N49"/>
    <mergeCell ref="C50:N50"/>
    <mergeCell ref="C51:N51"/>
    <mergeCell ref="C52:N52"/>
    <mergeCell ref="A35:N35"/>
    <mergeCell ref="A36:N36"/>
    <mergeCell ref="A44:N44"/>
    <mergeCell ref="C46:N46"/>
    <mergeCell ref="C47:N47"/>
    <mergeCell ref="A1:N1"/>
    <mergeCell ref="A2:N2"/>
    <mergeCell ref="A4:N4"/>
    <mergeCell ref="A11:N11"/>
    <mergeCell ref="A12:N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Lembar kerja</vt:lpstr>
      </vt:variant>
      <vt:variant>
        <vt:i4>12</vt:i4>
      </vt:variant>
      <vt:variant>
        <vt:lpstr>Rentang Bernama</vt:lpstr>
      </vt:variant>
      <vt:variant>
        <vt:i4>1</vt:i4>
      </vt:variant>
    </vt:vector>
  </HeadingPairs>
  <TitlesOfParts>
    <vt:vector size="13" baseType="lpstr">
      <vt:lpstr>Olah Data 3 -Form Responses (3)</vt:lpstr>
      <vt:lpstr>00 Panduan</vt:lpstr>
      <vt:lpstr>01 Profil Responden</vt:lpstr>
      <vt:lpstr>02 CVR CVI</vt:lpstr>
      <vt:lpstr>03 AikenV</vt:lpstr>
      <vt:lpstr>04 Reliabilitas</vt:lpstr>
      <vt:lpstr>05 Ringkasan_Uji</vt:lpstr>
      <vt:lpstr>06 Applicability Index_Gap</vt:lpstr>
      <vt:lpstr>07 Dashboard</vt:lpstr>
      <vt:lpstr>QC Data</vt:lpstr>
      <vt:lpstr>QC_Summary</vt:lpstr>
      <vt:lpstr>QC_Paired_t_Test</vt:lpstr>
      <vt:lpstr>QC_Summary!Print_Titles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dc:creator>
  <cp:lastModifiedBy>Bambang Suhartono</cp:lastModifiedBy>
  <dcterms:created xsi:type="dcterms:W3CDTF">2026-10-27T01:05:17Z</dcterms:created>
  <dcterms:modified xsi:type="dcterms:W3CDTF">2026-10-28T14:04:22Z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2026-10-25T07:11:14Z</dcterms:created>
  <dc:creator>Thinkpad</dc:creator>
  <dc:description/>
  <dc:language>en-US</dc:language>
  <cp:lastModifiedBy>Bambang Suhartono</cp:lastModifiedBy>
  <dcterms:modified xsi:type="dcterms:W3CDTF">2026-10-27T00:55:03Z</dcterms:modified>
  <cp:revision>0</cp:revision>
  <dc:subject/>
  <dc:title/>
</cp:coreProperties>
</file>